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ACEVEDOD\Desktop\Jefe\"/>
    </mc:Choice>
  </mc:AlternateContent>
  <xr:revisionPtr revIDLastSave="0" documentId="13_ncr:1_{18E7B927-9F53-4CF7-894B-D3C737BD7EB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OBADOS 2024-2025-2026" sheetId="18" r:id="rId1"/>
  </sheets>
  <definedNames>
    <definedName name="_xlnm._FilterDatabase" localSheetId="0" hidden="1">'APROBADOS 2024-2025-2026'!$A$2:$Y$86</definedName>
    <definedName name="_xlnm.Print_Titles" localSheetId="0">'APROBADOS 2024-2025-2026'!$1:$2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8" l="1"/>
  <c r="D3" i="18"/>
  <c r="D20" i="18" l="1"/>
  <c r="D19" i="18"/>
  <c r="D18" i="18"/>
  <c r="D17" i="18"/>
  <c r="D16" i="18"/>
  <c r="D15" i="18"/>
  <c r="D14" i="18"/>
  <c r="D13" i="18"/>
  <c r="D12" i="18"/>
  <c r="D11" i="18"/>
  <c r="D9" i="18"/>
  <c r="D8" i="18"/>
  <c r="D7" i="18"/>
  <c r="D6" i="18"/>
  <c r="D5" i="18"/>
  <c r="D4" i="18"/>
  <c r="D84" i="18"/>
  <c r="D83" i="18"/>
  <c r="D82" i="18"/>
  <c r="D81" i="18"/>
  <c r="D80" i="18"/>
  <c r="D79" i="18"/>
  <c r="D78" i="18"/>
  <c r="D77" i="18"/>
  <c r="D76" i="18"/>
  <c r="D75" i="18"/>
  <c r="D74" i="18"/>
  <c r="D73" i="18"/>
  <c r="D72" i="18"/>
  <c r="D71" i="18"/>
  <c r="D70" i="18"/>
  <c r="D69" i="18"/>
  <c r="D68" i="18"/>
  <c r="D67" i="18"/>
  <c r="D66" i="18"/>
  <c r="D65" i="18"/>
  <c r="D64" i="18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J85" i="18" l="1"/>
  <c r="I85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tc={8E3B43B7-4E50-49A0-BFFA-6EEC1658D79C}</author>
    <author>tc={32851E12-2A14-423F-AF75-3D964D0C8E1F}</author>
  </authors>
  <commentList>
    <comment ref="O5" authorId="0" shapeId="0" xr:uid="{00000000-0006-0000-0200-000001000000}">
      <text>
        <r>
          <rPr>
            <sz val="11"/>
            <color theme="1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CAMBIO FECHA DE TERMINACIÓN PERO NO REPORTA ESTE AJUSTE EN LA PLATAFORMA</t>
        </r>
      </text>
    </comment>
    <comment ref="O9" authorId="1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CAMBIO FECHA DE TERMINACION PERO NO REPORTA DICHO AJUSTE EN PLATAFORMA
</t>
        </r>
      </text>
    </comment>
  </commentList>
</comments>
</file>

<file path=xl/sharedStrings.xml><?xml version="1.0" encoding="utf-8"?>
<sst xmlns="http://schemas.openxmlformats.org/spreadsheetml/2006/main" count="917" uniqueCount="277">
  <si>
    <t>PROYECTOS APROBADOS POR ASIGNACIÓN CON CARGO AL SISTEMA GENERAL DE REGALÍAS DEPARTAMENTO DE Antioquia - 2024-2026</t>
  </si>
  <si>
    <t>16 de julio</t>
  </si>
  <si>
    <t>16 de agosto</t>
  </si>
  <si>
    <t>16 de septiembre</t>
  </si>
  <si>
    <t>Año</t>
  </si>
  <si>
    <t>Municipio</t>
  </si>
  <si>
    <t>Subregión</t>
  </si>
  <si>
    <t>Alcance</t>
  </si>
  <si>
    <t>Entregable</t>
  </si>
  <si>
    <t>BPIN</t>
  </si>
  <si>
    <t>Nombre</t>
  </si>
  <si>
    <t>Valor Proyecto</t>
  </si>
  <si>
    <t>Aporte Gobernación SGR</t>
  </si>
  <si>
    <t>Tipo de Asignación</t>
  </si>
  <si>
    <t>Designación</t>
  </si>
  <si>
    <t>Estado</t>
  </si>
  <si>
    <t>Fecha Aprobación</t>
  </si>
  <si>
    <t>Fecha de Terminación</t>
  </si>
  <si>
    <t>Ejecución Física</t>
  </si>
  <si>
    <t>Ejecución Financiera</t>
  </si>
  <si>
    <t>IGPR 
2025-IV</t>
  </si>
  <si>
    <t>IGPR 
2026-I</t>
  </si>
  <si>
    <t>IGPR 
2026-II</t>
  </si>
  <si>
    <t>Ejecución  física reportada por el municipio</t>
  </si>
  <si>
    <t>SAN CARLOS</t>
  </si>
  <si>
    <t>Oriente</t>
  </si>
  <si>
    <t>4 KM PLACA HUELLA</t>
  </si>
  <si>
    <t>PLACA HUELLA</t>
  </si>
  <si>
    <t>Pavimentación de vías terciarias en sistema placa huella en el Municipio de San Carlos</t>
  </si>
  <si>
    <t>AIR60</t>
  </si>
  <si>
    <t>Entidad Aportante Recursos</t>
  </si>
  <si>
    <t>CERRADO</t>
  </si>
  <si>
    <t>MACEO</t>
  </si>
  <si>
    <t>Nordeste</t>
  </si>
  <si>
    <t>2 KM PLACA HUELLA</t>
  </si>
  <si>
    <t>Mejoramiento de 2 Kilómetros de Tramos Viales Localizados en las Veredas San Ignacio y Santa Barbara del Municipio de Maceo</t>
  </si>
  <si>
    <t>TERMINADO</t>
  </si>
  <si>
    <t>99,52</t>
  </si>
  <si>
    <t>SAN LUIS</t>
  </si>
  <si>
    <t>Construcción de placa huella para el mejoramiento de la vía terciaria ubicada entre las veredas La Tebaida y El Popal municipio de San Luis Antioquia</t>
  </si>
  <si>
    <t>NO APLICA</t>
  </si>
  <si>
    <t>GUADALUPE</t>
  </si>
  <si>
    <t>Norte</t>
  </si>
  <si>
    <t>Mejoramiento de vías terciarias en el municipio de Guadalupe Antioquia</t>
  </si>
  <si>
    <t>AMALFI</t>
  </si>
  <si>
    <t>Construcción de 2 km de placa huella en la vereda Guayabito del municipio de Amalfi</t>
  </si>
  <si>
    <t>CONTRATADO EN EJECUCIÓN</t>
  </si>
  <si>
    <t>25,22</t>
  </si>
  <si>
    <t>27,22</t>
  </si>
  <si>
    <t>BRICEÑO</t>
  </si>
  <si>
    <t>Mejoramiento de la vía terciaria que comunica la vereda El Roblal y el Sector la Ye en el municipio de Briceño Antioquia</t>
  </si>
  <si>
    <t>NO INFO</t>
  </si>
  <si>
    <t>SONSÓN</t>
  </si>
  <si>
    <t>Construcción de Placa Huella de la vía Terciaria en el tramo que comunica las veredas de San Francisco y Manzanares en el municipio de Sonsón</t>
  </si>
  <si>
    <t>98,3</t>
  </si>
  <si>
    <t>89,2</t>
  </si>
  <si>
    <t>89,64</t>
  </si>
  <si>
    <t>TÁMESIS</t>
  </si>
  <si>
    <t>Suroeste</t>
  </si>
  <si>
    <t>Construcción de placa huella de la vía terciaria El Hacha - La Alacena en el Municipio de Támesis del departamento de Antioquia</t>
  </si>
  <si>
    <t>98,69</t>
  </si>
  <si>
    <t>NARIÑO</t>
  </si>
  <si>
    <t>1 KM PLACA HUELLA</t>
  </si>
  <si>
    <t>Mejoramiento de vías terciarias mediante la pavimentación en placa huella del tramo que conecta a Puente Linda con el Corregimiento de Puerto Venus en el municipio de Nariño Antioquia</t>
  </si>
  <si>
    <t>98,41</t>
  </si>
  <si>
    <t>GIRALDO</t>
  </si>
  <si>
    <t>Occidente</t>
  </si>
  <si>
    <t>Construcción de placa huella productiva en la vía terciaria Águila-Roblar del municipio de Giraldo</t>
  </si>
  <si>
    <t xml:space="preserve">AIR60 </t>
  </si>
  <si>
    <t>100,01</t>
  </si>
  <si>
    <t>62,65</t>
  </si>
  <si>
    <t>CAROLINA DEL PRÍNCIPE</t>
  </si>
  <si>
    <t>Mejoramiento de 2 Kilómetros de vía mediante la construcción de placa huella en la vereda Claritas del Municipio de Carolina</t>
  </si>
  <si>
    <t>CIUDAD BOLÍVAR</t>
  </si>
  <si>
    <t>Rehabilitación con pavimento tipo placa huella de la vía terciaria Manzanillo en el Municipio de Ciudad Bolívar Antioquia</t>
  </si>
  <si>
    <t>NO DEFINIDO</t>
  </si>
  <si>
    <t>120,38</t>
  </si>
  <si>
    <t>ENTRERRÍOS</t>
  </si>
  <si>
    <t>Pavimentación tipo placa huella en vías rurales del municipio de Entrerríos Antioquia</t>
  </si>
  <si>
    <t>84,5</t>
  </si>
  <si>
    <t>SAN PEDRO DE LOS MILAGROS</t>
  </si>
  <si>
    <t>3 KM PLACA HUELLA</t>
  </si>
  <si>
    <t>Mejoramiento vías terciarias en las veredas el rano la clarita y la Arroyave en el municipio de San Pedro de los Milagros</t>
  </si>
  <si>
    <t>73,01</t>
  </si>
  <si>
    <t>59,95</t>
  </si>
  <si>
    <t>76,13</t>
  </si>
  <si>
    <t>83,52</t>
  </si>
  <si>
    <t>ANDES</t>
  </si>
  <si>
    <t>Mejoramiento de la malla vial de 3 km mediante el sistema constructivo de placa huella en el corredor vial Andes - Santa Rita; en el municipio de Andes departamento de Antioquia</t>
  </si>
  <si>
    <t>79,94</t>
  </si>
  <si>
    <t>COCORNÁ</t>
  </si>
  <si>
    <t>Mejoramiento de vías terciarías del Municipio de Cocorná Antioquia</t>
  </si>
  <si>
    <t>DEPARTAMENTO</t>
  </si>
  <si>
    <t>Departamento</t>
  </si>
  <si>
    <t>320 NEGOCIOS VERDES CONSOLIDADOS</t>
  </si>
  <si>
    <t>MEDIO AMBIENTE</t>
  </si>
  <si>
    <t>Fortalecimiento de prácticas productivas sostenibles en áreas ambientales estratégicas del departamento de Antioquia</t>
  </si>
  <si>
    <t>Entidad Ejecutora</t>
  </si>
  <si>
    <t>AMAGÁ</t>
  </si>
  <si>
    <t>Mejoramiento de vías terciarias en las veredas Pueblitos la Delgadita Malabrigo y Maní del Cardal del municipio de Amagá Antioquia</t>
  </si>
  <si>
    <t>TITIRIBÍ</t>
  </si>
  <si>
    <t>Construcción de placa huella de la vía terciaria Vereda La Meseta sector El Corcovado en el municipio de Titiribí Antioquia</t>
  </si>
  <si>
    <t>PAVIMENTO</t>
  </si>
  <si>
    <t>Mejoramiento y construcción de obras complementarias de la vía La Lorena Maratón etapa 3 de la subregión Suroeste del departamento de Antioquia</t>
  </si>
  <si>
    <t>SOPETRÁN</t>
  </si>
  <si>
    <t>PUENTE</t>
  </si>
  <si>
    <t>Construcción de puente y mejoramiento del corredor vial Sopetrán - El Rodeo - Sabanazo en el municipio de Sopetrán Antioquia</t>
  </si>
  <si>
    <t>89,5</t>
  </si>
  <si>
    <t xml:space="preserve">Prorroga 90 días+ adición de recursos (obras complementarias) </t>
  </si>
  <si>
    <t>PUERTO TRIUNFO</t>
  </si>
  <si>
    <t>Magdalena Medio</t>
  </si>
  <si>
    <t>Mejoramiento de vías terciarias mediante la construcción de placa huellas entre el corregimiento las mercedes y la vereda la estrella en el municipio de Puerto Triunfo Antioquia</t>
  </si>
  <si>
    <t>PARA CIERRE</t>
  </si>
  <si>
    <t>SAN JOSÉ DE LA MONTAÑA</t>
  </si>
  <si>
    <t>Mejoramiento de la vía de acceso a la vereda Potrerito municipio de San José de la Montaña Antioquia</t>
  </si>
  <si>
    <t>EL PEÑOL</t>
  </si>
  <si>
    <t>Construcción y mejoramiento de vía terciaria del municipio de El Peñol Antioquia</t>
  </si>
  <si>
    <t>97,2</t>
  </si>
  <si>
    <t>GÓMEZ PLATA</t>
  </si>
  <si>
    <t>Pavimentación de vías en sistemas constructivo placa huella para las veredas La Angostura Chilimaco sectores rurales del municipio de Gómez Plata Antioquia</t>
  </si>
  <si>
    <t>CAUCASIA</t>
  </si>
  <si>
    <t>Bajo Cauca</t>
  </si>
  <si>
    <t>Mejoramiento de las vias terciarias mediante placa huella en el municipio de Caucasia, Antioquia</t>
  </si>
  <si>
    <t>SAN FRANCISCO</t>
  </si>
  <si>
    <t>Mejoramiento de vía (vereda San Isidro-vereda Boquerón) en el municipio San Francisco, Antioquia</t>
  </si>
  <si>
    <t>98,4</t>
  </si>
  <si>
    <t>DONMATÍAS</t>
  </si>
  <si>
    <t xml:space="preserve">PAVIMENTO </t>
  </si>
  <si>
    <t>Mejoramiento de la vía de acceso a la vereda Iborra en el municipio de Donmatías</t>
  </si>
  <si>
    <t>MARINILLA</t>
  </si>
  <si>
    <t>Pavimentacion de vias rurales en el municipio de Marinilla, Antioquia</t>
  </si>
  <si>
    <t>SAN JUAN DE URABÁ</t>
  </si>
  <si>
    <t>Urabá</t>
  </si>
  <si>
    <t>Construccion de placa huella en la vía de acceso al corregimiento de Belén, municipio de San Juan de Urabá, departamento de Antioquia</t>
  </si>
  <si>
    <t>SAN RAFAEL</t>
  </si>
  <si>
    <t>Mejoramiento de vias terciarias en los sectores de Manila, La Luz, Chico y Bizcocho en el municipio de San Rafael, Antioquia</t>
  </si>
  <si>
    <t xml:space="preserve">1 PUENTE </t>
  </si>
  <si>
    <t>Mejoramiento de la red vial de segundo orden mediante la construccion de un puente ubicado en la vÍa San fermín (ruta 25-Briceño) del departamento de Antioquia</t>
  </si>
  <si>
    <t>CONTRATADO SIN ACTA DE INICIO</t>
  </si>
  <si>
    <t>CARAMANTA</t>
  </si>
  <si>
    <t>Construccion placa huella en las veredas Palmichal y Sucre, municipio de Caramanta, Antioquia</t>
  </si>
  <si>
    <t>ANORÍ</t>
  </si>
  <si>
    <t>Mejoramiento de vias terciarias mediante el uso de placa huella en la vía Anorí - La Plancha, en las veredas chagualo y las nieves del municipio de Anorí, Antioquia.</t>
  </si>
  <si>
    <t>ITUANGO</t>
  </si>
  <si>
    <t>4 PAP</t>
  </si>
  <si>
    <t>PUNTOS DE ATENCIÓN PRIORITARIA</t>
  </si>
  <si>
    <t>Mejoramiento de la red vial de segundo orden mediante la intervención de puntos de atención prioritaria en los municipios de Ituango y Carolina del príncipe del Departamento de Antioquia</t>
  </si>
  <si>
    <t>INFORMACIÓN ESTADISTICA</t>
  </si>
  <si>
    <t>ENCUESTA CALIDAD DE VIDA</t>
  </si>
  <si>
    <t>Fortalecimiento de los instrumentos de produccion y analisis de datos estsdisticos en el departamento de Antioquia</t>
  </si>
  <si>
    <t>AD</t>
  </si>
  <si>
    <t>RIONEGRO</t>
  </si>
  <si>
    <t>Mejoramiento de las vías rurales del municipio de Rionegro, Antioquia</t>
  </si>
  <si>
    <t>DESAPROBADO</t>
  </si>
  <si>
    <t>Desaprobado</t>
  </si>
  <si>
    <t>GRANADA</t>
  </si>
  <si>
    <t>Mejoramiento de la vía vereda Quebradona Arriba en el municipio de Granada Antioquia</t>
  </si>
  <si>
    <t>2 KM PAVIMENTO RÍGIDO</t>
  </si>
  <si>
    <t>Construcción de pavimento rígido en el área urbana del municipio de Cocorná Antioquia</t>
  </si>
  <si>
    <t>SANTO DOMINGO</t>
  </si>
  <si>
    <t>Mejoramiento de vias mediante placa huella en la vereda La Eme, Piedras Blancas, Piedras Gordas Y Alto Roble en el municipio de Santo Domingo</t>
  </si>
  <si>
    <t xml:space="preserve">CAICEDO </t>
  </si>
  <si>
    <t>Mejoramiento 1 kilometro de red vial terciaria en la vereda San Juan en zona rural del municipio de Caicedo, Antioquia</t>
  </si>
  <si>
    <t>BETANIA</t>
  </si>
  <si>
    <t>Mejoramiento de vía (Pedral arriba sector San Luis) en el municipio de Betania, Antioquia</t>
  </si>
  <si>
    <t>SAN VICENTE FERRER</t>
  </si>
  <si>
    <t>Mejoramiento de Vías Rurales en Placa Huella en el Municipio de San Vicente Ferrer Antioquia</t>
  </si>
  <si>
    <t>90,4</t>
  </si>
  <si>
    <t>HISPANIA</t>
  </si>
  <si>
    <t>Pavimentación mediante el sistema constructivo placa huella via terciaria San Juaquin vereda La Palamira del municipio de Hispania, Antioquía</t>
  </si>
  <si>
    <t>Mejoramientode la via de tercer orden Ye a La Bodega (Andes)-Buenas Aires-Puente Lata-Jericó en la subregión Suroeste del departamento de Antioquia</t>
  </si>
  <si>
    <t>80,4</t>
  </si>
  <si>
    <t>TOLEDO</t>
  </si>
  <si>
    <t>Mejoramiento de vias terciarias mediante la construcción de placa huella vereda Helechales en la zona rural del municipio de Toledo, Antioquia</t>
  </si>
  <si>
    <t>Mejoramiento de vías mediante placa huella en la vereda Buenavista y Chorrillo en el municipio de Briceño, Antioquia</t>
  </si>
  <si>
    <t>GUATAPÉ</t>
  </si>
  <si>
    <t>Mejoramiento de la vía-Granada-Guatapé sector la Sonadora y la Peña, del municipio de Guatape, Antioquia</t>
  </si>
  <si>
    <t>Construcción de placa huella en la vía terciaria vereda El Encanto del municipio de Támesis del departamento de Antioquia</t>
  </si>
  <si>
    <t>Mejoramiento de las vías que conducen a las veredas El Llano y El Recreo del municipio de Nariño Antioquia</t>
  </si>
  <si>
    <t>HELICONIA</t>
  </si>
  <si>
    <t>Adecuación y Mejoramiento de la infraestructura vial del municipio de Heliconia, Antioquia</t>
  </si>
  <si>
    <t>CAMPAMENTO</t>
  </si>
  <si>
    <t>Pavimentación de via rural mediante contrucción de placa huella en la vereda El Limon del municipio de Campamento, Antioquia</t>
  </si>
  <si>
    <t>URRAO</t>
  </si>
  <si>
    <t>2 PUENTES VEHICULARES</t>
  </si>
  <si>
    <t>Mejoramiento de la Red Vial Terciaria Mediante la Construcción de Puentes en el Municipio de Urrao de la subregión Suroeste del Departamento de Antioquia</t>
  </si>
  <si>
    <t>79,6</t>
  </si>
  <si>
    <t>TARAZÁ</t>
  </si>
  <si>
    <t>2 PAP</t>
  </si>
  <si>
    <t>Mejoramiento de vías de tercer orden mediante la intervención de puntos de atención prioritaria en el municipio de Tarazá del departamento de Antioquia</t>
  </si>
  <si>
    <t>TURBO</t>
  </si>
  <si>
    <t>1 PAP</t>
  </si>
  <si>
    <t>Mejoramiento de la vía El Tres - San Pedro de Urabá (código: 62AN02) mediante la atención de un punto de atención prioritaria en el municipio de Turbo de la subregión Urabá del departamento de  Antioquia</t>
  </si>
  <si>
    <t>CHIGORODÓ</t>
  </si>
  <si>
    <t>Transformación Urbanística de la Calle 97 y Vías Conexas para una Movilidad Segura en el Municipio de Chigorodó Antioquia</t>
  </si>
  <si>
    <t>ALEJANDRÍA</t>
  </si>
  <si>
    <t>Mejoramiento de vías del circuito productivo rural cafetero en el municipio de Alejandría Antioquia</t>
  </si>
  <si>
    <t>96,4</t>
  </si>
  <si>
    <t>Mejoramiento de vías urbanas mediante la atención de puntos de atención prioritaria en el municipio de Heliconia del departamento de Antioquia</t>
  </si>
  <si>
    <t>SAN JERÓNIMO</t>
  </si>
  <si>
    <t>1 PUENTE VEHICULAR</t>
  </si>
  <si>
    <t>Mejoramiento de la vía San Jerónimo Llano de San Juan (código: 56997) mediante construcción del puente Las Margaritas en el municipio de San Jerónimo del departamento de Antioquia</t>
  </si>
  <si>
    <t xml:space="preserve">PUENTE VEHICULAR LOS ESTUDIANTES </t>
  </si>
  <si>
    <t>Mejoramiento de vías urbanas mediante la construcción de puentes vehiculares en los municipios de Rionegro y Cisneros del departamento de Antioquia</t>
  </si>
  <si>
    <t>CISNEROS</t>
  </si>
  <si>
    <t>PUENTE VEHICULAR</t>
  </si>
  <si>
    <t>Construcción de pavimento rígido, urbanismo y obras complementarias para el desarrollo en el municipio de Chigorodó, Antioquia</t>
  </si>
  <si>
    <t>EL SANTUARIO</t>
  </si>
  <si>
    <t>Mejoramiento de vías terciarias en el municipio de El Santuario, Antioquia</t>
  </si>
  <si>
    <t>ANGOSTURA</t>
  </si>
  <si>
    <t>Mejoramiento de Vías Terciarias en el Municipio de Angostura Antioquia</t>
  </si>
  <si>
    <t>EL RETIRO</t>
  </si>
  <si>
    <t>Construcción de Placa Huella en la vía terciaria de la vereda Pantalio en el municipio de El Retiro Antioquia</t>
  </si>
  <si>
    <t>MONTEBELLO</t>
  </si>
  <si>
    <t>Mejoramiento de vías terciarias en las veredas La Camelia y el Tablazo del municipio de Montebello, Antioquia</t>
  </si>
  <si>
    <t>78,6</t>
  </si>
  <si>
    <t>ARGELIA</t>
  </si>
  <si>
    <t>Mejoramiento de vías terciarias en el municipio de Argelia de María Antioquia</t>
  </si>
  <si>
    <t>Mejoramiento de la vía Bellavista - Sabanalarga Sector Patio Bonito en el municipio de Cisneros Antioquia</t>
  </si>
  <si>
    <t>CÁCERES</t>
  </si>
  <si>
    <t>Mejoramiento de Vías Rurales Mediante la Construcción de Placa Huella en el Municipio de Cáceres Antioquia</t>
  </si>
  <si>
    <t>ARMENIA MANTEQUILLA</t>
  </si>
  <si>
    <t>Mejoramiento de vías terciarias en placa huella en la vereda la Horcona Municipio de Armenia Antioquia</t>
  </si>
  <si>
    <t>SIN CONTRATAR</t>
  </si>
  <si>
    <t>1 KM PLACA HUELLA INDÍGENAS</t>
  </si>
  <si>
    <t>Construcción de placa huella para el mejoramiento de la vía que conduce al sector el Coco en el Municipio de Chigorodó Antioquia</t>
  </si>
  <si>
    <t>PUEBLORRICO</t>
  </si>
  <si>
    <t>Mejoramiento de la Red Vial de Tercer Orden del Municipio de Pueblorrico Antioquia</t>
  </si>
  <si>
    <t xml:space="preserve">NO INFO </t>
  </si>
  <si>
    <t>URAMITA</t>
  </si>
  <si>
    <t>Pavimentación y Adecuación de Vía en el Barrio el Socorro y La Copa en la Zona Urbana del Municipio de Uramita Antioquia</t>
  </si>
  <si>
    <t>SANTA FE DE ANTIOQUIA</t>
  </si>
  <si>
    <t>1 PUENTE</t>
  </si>
  <si>
    <t>Mejoramiento de la vía Ramal El Churrumbo mediante la construcción del puente Churrumbo en el municipio de Santa Fe de Antioquia de la subregión Occidente del departamento de Antioquia</t>
  </si>
  <si>
    <t>BURITICÁ</t>
  </si>
  <si>
    <t xml:space="preserve">2 PUENTES VEHICULARES BURITICÁ </t>
  </si>
  <si>
    <t>Mejoramiento de vías de Tercer Orden mediante la construcción de puentes en los municipios de Buriticá y Caicedo del departamento de Antioquia</t>
  </si>
  <si>
    <t xml:space="preserve">1 PUENTE VEHICULAR CAICEDO </t>
  </si>
  <si>
    <t>1 PUENTE VEHICULAR TOLEDO</t>
  </si>
  <si>
    <t>Mejoramiento de vías de Tercer Orden mediante la construcción de puentes en los municipios de Jardín y Toledo del Departamento de Antioquia</t>
  </si>
  <si>
    <t>JARDÍN</t>
  </si>
  <si>
    <t>1 PUENTE VEHICULAR JARDÍN</t>
  </si>
  <si>
    <t>SAN PEDRO DE URABÁ</t>
  </si>
  <si>
    <t>2 PUENTES</t>
  </si>
  <si>
    <t>Mejoramiento de vías de tercer orden mediante la construcción de los puentes Pirú y Camarón en el municipio de San Pedro de Urabá del departamento de Antioquia</t>
  </si>
  <si>
    <t>MUTATÁ</t>
  </si>
  <si>
    <t>1 KM PLACA HUELLA INDIGENAS</t>
  </si>
  <si>
    <t>Mejoramiento de vías terciarias a través de placa huella en las veredas Cacaos y Jaikerazabi en el municipio de Mutatá Departamento de  Antioquia</t>
  </si>
  <si>
    <t>NECHÍ</t>
  </si>
  <si>
    <t xml:space="preserve">ESQUEMAS DE ORDENAMIENTO </t>
  </si>
  <si>
    <t>EOT</t>
  </si>
  <si>
    <t>Actualización de los Planes de Ordenamiento Territorial de los municipios de Cáceres, El Bagre, Nechí y Zaragoza, del departamento de Antioquia</t>
  </si>
  <si>
    <t>REDES ACUEDUCTO Y ALCANTARILLADO</t>
  </si>
  <si>
    <t>ACUEDUCTO Y ALCANTARILLADO</t>
  </si>
  <si>
    <t>Construcción de Alcantarillado Residual Vía Centro de Salud Don Bosco de Currulao en el Distrito de Turbo, Antioquia</t>
  </si>
  <si>
    <t>Alcance
Valor</t>
  </si>
  <si>
    <t>1,5 KM PLACA HUELLA</t>
  </si>
  <si>
    <t>3,5 KM PLACA HUELLA</t>
  </si>
  <si>
    <t>1,2 KM PLACA HUELLA</t>
  </si>
  <si>
    <t>6,9 KM PAVIMENTO FLEXIBLE</t>
  </si>
  <si>
    <t>1 PUENTE Y  1,5 KM VÍA</t>
  </si>
  <si>
    <t>0,75 KM PLACA HUELLA</t>
  </si>
  <si>
    <t>1,9 KM PLACA HUELLA</t>
  </si>
  <si>
    <t>1,95 KM PAVIMENTACION</t>
  </si>
  <si>
    <t>2,65 KM PLACA HUELLA</t>
  </si>
  <si>
    <t>1,63 KM PLACA HUELLA</t>
  </si>
  <si>
    <t xml:space="preserve">9,2 KM PAVIMENTO </t>
  </si>
  <si>
    <t>1,73 KM PLACA HUELLA</t>
  </si>
  <si>
    <t>1,1 KM PLACA HUELLA</t>
  </si>
  <si>
    <t>1,07 PAV URBANA CALLE 97</t>
  </si>
  <si>
    <t>0,8 KM PAV VIAS URB PARQUE TERM TTE</t>
  </si>
  <si>
    <t>0,980 KM PAVIMENTO FLEXIBLE</t>
  </si>
  <si>
    <t>0,54 KM DE PAVIMENTACIÓN URBANA</t>
  </si>
  <si>
    <t>1,866 KM PLACA HUELLA</t>
  </si>
  <si>
    <t>0,782 KM PLACA HUELLA</t>
  </si>
  <si>
    <t>1,3 KM PLACA HUELLA</t>
  </si>
  <si>
    <t>0,95 KM PLACA HUELLA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</si>
</sst>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[$$-240A]\ #,##0.00"/>
    <numFmt numFmtId="166" formatCode="&quot;$&quot;\ #,##0.00"/>
    <numFmt numFmtId="167" formatCode="_(* #,##0_);_(* \(#,##0\);_(* &quot;-&quot;??_);_(@_)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8B3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2501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8" fillId="0" borderId="0" applyNumberFormat="0" applyFill="0" applyBorder="0" applyAlignment="0" applyProtection="0"/>
    <xf numFmtId="0" fontId="7" fillId="0" borderId="1"/>
    <xf numFmtId="0" fontId="10" fillId="0" borderId="1"/>
    <xf numFmtId="0" fontId="8" fillId="0" borderId="1" applyNumberFormat="0" applyFill="0" applyBorder="0" applyAlignment="0" applyProtection="0"/>
    <xf numFmtId="0" fontId="11" fillId="0" borderId="1"/>
    <xf numFmtId="0" fontId="12" fillId="0" borderId="1" applyNumberFormat="0" applyFill="0" applyBorder="0" applyAlignment="0" applyProtection="0">
      <alignment vertical="top"/>
      <protection locked="0"/>
    </xf>
    <xf numFmtId="0" fontId="6" fillId="0" borderId="1"/>
    <xf numFmtId="0" fontId="3" fillId="0" borderId="1"/>
    <xf numFmtId="0" fontId="20" fillId="0" borderId="1"/>
    <xf numFmtId="0" fontId="2" fillId="0" borderId="1"/>
  </cellStyleXfs>
  <cellXfs count="81">
    <xf numFmtId="0" fontId="0" fillId="0" borderId="0" xfId="0"/>
    <xf numFmtId="1" fontId="13" fillId="2" borderId="2" xfId="0" applyNumberFormat="1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44" fontId="13" fillId="2" borderId="2" xfId="0" applyNumberFormat="1" applyFont="1" applyFill="1" applyBorder="1" applyAlignment="1">
      <alignment horizontal="right" vertical="center"/>
    </xf>
    <xf numFmtId="44" fontId="13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4" fontId="14" fillId="2" borderId="2" xfId="0" applyNumberFormat="1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44" fontId="14" fillId="0" borderId="2" xfId="0" applyNumberFormat="1" applyFont="1" applyBorder="1" applyAlignment="1">
      <alignment horizontal="right" vertical="center"/>
    </xf>
    <xf numFmtId="44" fontId="9" fillId="0" borderId="1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4" fontId="13" fillId="3" borderId="2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166" fontId="13" fillId="2" borderId="2" xfId="0" applyNumberFormat="1" applyFont="1" applyFill="1" applyBorder="1" applyAlignment="1">
      <alignment horizontal="center" vertical="center" wrapText="1"/>
    </xf>
    <xf numFmtId="166" fontId="13" fillId="0" borderId="2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8" fillId="6" borderId="2" xfId="0" applyNumberFormat="1" applyFont="1" applyFill="1" applyBorder="1" applyAlignment="1">
      <alignment horizontal="center" vertical="center" wrapText="1"/>
    </xf>
    <xf numFmtId="44" fontId="18" fillId="6" borderId="2" xfId="0" applyNumberFormat="1" applyFont="1" applyFill="1" applyBorder="1" applyAlignment="1">
      <alignment horizontal="center" vertical="center" wrapText="1"/>
    </xf>
    <xf numFmtId="165" fontId="15" fillId="7" borderId="2" xfId="0" applyNumberFormat="1" applyFont="1" applyFill="1" applyBorder="1" applyAlignment="1">
      <alignment horizontal="center" vertical="center" wrapText="1"/>
    </xf>
    <xf numFmtId="14" fontId="15" fillId="7" borderId="2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165" fontId="19" fillId="7" borderId="2" xfId="0" applyNumberFormat="1" applyFont="1" applyFill="1" applyBorder="1" applyAlignment="1">
      <alignment horizontal="center" vertical="center" wrapText="1"/>
    </xf>
    <xf numFmtId="1" fontId="13" fillId="4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165" fontId="15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4" fontId="2" fillId="2" borderId="2" xfId="0" applyNumberFormat="1" applyFont="1" applyFill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center"/>
    </xf>
    <xf numFmtId="44" fontId="2" fillId="0" borderId="2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44" fontId="2" fillId="0" borderId="1" xfId="0" applyNumberFormat="1" applyFont="1" applyBorder="1" applyAlignment="1">
      <alignment horizontal="right" vertical="center"/>
    </xf>
    <xf numFmtId="1" fontId="14" fillId="0" borderId="2" xfId="0" applyNumberFormat="1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wrapText="1"/>
    </xf>
    <xf numFmtId="0" fontId="21" fillId="9" borderId="4" xfId="0" applyFont="1" applyFill="1" applyBorder="1" applyAlignment="1">
      <alignment horizontal="center" wrapText="1"/>
    </xf>
    <xf numFmtId="0" fontId="21" fillId="10" borderId="4" xfId="0" applyFont="1" applyFill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14" fontId="22" fillId="0" borderId="4" xfId="0" applyNumberFormat="1" applyFont="1" applyBorder="1" applyAlignment="1">
      <alignment wrapText="1"/>
    </xf>
    <xf numFmtId="0" fontId="22" fillId="0" borderId="4" xfId="0" applyFont="1" applyBorder="1" applyAlignment="1">
      <alignment horizontal="center" wrapText="1"/>
    </xf>
    <xf numFmtId="14" fontId="22" fillId="0" borderId="4" xfId="0" applyNumberFormat="1" applyFont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/>
    </xf>
    <xf numFmtId="14" fontId="22" fillId="0" borderId="2" xfId="0" applyNumberFormat="1" applyFont="1" applyBorder="1" applyAlignment="1">
      <alignment wrapText="1"/>
    </xf>
    <xf numFmtId="0" fontId="13" fillId="0" borderId="5" xfId="0" applyFont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167" fontId="2" fillId="2" borderId="2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9" fontId="13" fillId="2" borderId="2" xfId="0" applyNumberFormat="1" applyFont="1" applyFill="1" applyBorder="1" applyAlignment="1">
      <alignment horizontal="left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1">
    <cellStyle name="Excel Built-in Normal" xfId="5" xr:uid="{00000000-0005-0000-0000-000000000000}"/>
    <cellStyle name="Hipervínculo 2" xfId="4" xr:uid="{00000000-0005-0000-0000-000002000000}"/>
    <cellStyle name="Hipervínculo 2 2" xfId="6" xr:uid="{00000000-0005-0000-0000-000003000000}"/>
    <cellStyle name="Hyperlink" xfId="1" xr:uid="{00000000-0005-0000-0000-000004000000}"/>
    <cellStyle name="Normal" xfId="0" builtinId="0"/>
    <cellStyle name="Normal 2" xfId="2" xr:uid="{00000000-0005-0000-0000-000007000000}"/>
    <cellStyle name="Normal 2 2" xfId="3" xr:uid="{00000000-0005-0000-0000-000008000000}"/>
    <cellStyle name="Normal 3" xfId="7" xr:uid="{00000000-0005-0000-0000-000009000000}"/>
    <cellStyle name="Normal 4" xfId="8" xr:uid="{48C568AD-7B16-4366-BC16-FCE334019761}"/>
    <cellStyle name="Normal 5" xfId="9" xr:uid="{5B1B1251-D80F-43FE-97EC-5A72B831CB4A}"/>
    <cellStyle name="Normal 6" xfId="10" xr:uid="{496AE254-D534-4973-A8C6-387FA1E00AF5}"/>
  </cellStyles>
  <dxfs count="0"/>
  <tableStyles count="0" defaultTableStyle="TableStyleMedium2" defaultPivotStyle="PivotStyleLight16"/>
  <colors>
    <mruColors>
      <color rgb="FF68B34D"/>
      <color rgb="FF40B353"/>
      <color rgb="FF1250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0/relationships/richValueRel" Target="richData/richValueRel.xml"/><Relationship Id="rId3" Type="http://schemas.openxmlformats.org/officeDocument/2006/relationships/styles" Target="styles.xml"/><Relationship Id="rId17" Type="http://schemas.microsoft.com/office/2017/10/relationships/person" Target="persons/person.xml"/><Relationship Id="rId2" Type="http://schemas.openxmlformats.org/officeDocument/2006/relationships/theme" Target="theme/theme1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5" Type="http://schemas.microsoft.com/office/2017/06/relationships/rdRichValueStructure" Target="richData/rdrichvaluestructure.xml"/><Relationship Id="rId4" Type="http://schemas.openxmlformats.org/officeDocument/2006/relationships/sharedStrings" Target="sharedStrings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invitado" id="{4E3C566E-3F74-4BDA-9E38-EE81E3FF232C}" userId="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5-12-16T16:48:50.33" personId="{4E3C566E-3F74-4BDA-9E38-EE81E3FF232C}" id="{8E3B43B7-4E50-49A0-BFFA-6EEC1658D79C}">
    <text>CAMBIO FECHA DE TERMINACIÓN PERO NO REPORTA ESTE AJUSTE EN LA PLATAFORMA</text>
  </threadedComment>
  <threadedComment ref="V9" dT="2025-12-16T16:49:24.95" personId="{4E3C566E-3F74-4BDA-9E38-EE81E3FF232C}" id="{32851E12-2A14-423F-AF75-3D964D0C8E1F}">
    <text xml:space="preserve">CAMBIO FECHA DE TERMINACION PERO NO REPORTA DICHO AJUSTE EN PLATAFORMA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27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22"/>
  <sheetViews>
    <sheetView showGridLines="0" tabSelected="1" topLeftCell="A69" zoomScale="90" zoomScaleNormal="90" zoomScaleSheetLayoutView="80" workbookViewId="0">
      <pane xSplit="8" topLeftCell="I1" activePane="topRight" state="frozen"/>
      <selection activeCell="G1" sqref="G1"/>
      <selection pane="topRight" activeCell="E3" sqref="E3:E84"/>
    </sheetView>
  </sheetViews>
  <sheetFormatPr baseColWidth="10" defaultColWidth="8.85546875" defaultRowHeight="15"/>
  <cols>
    <col min="1" max="1" width="7" style="8" customWidth="1"/>
    <col min="2" max="2" width="17.85546875" style="13" customWidth="1"/>
    <col min="3" max="4" width="17.28515625" style="8" customWidth="1"/>
    <col min="5" max="5" width="8.85546875" style="13" customWidth="1"/>
    <col min="6" max="6" width="15.85546875" style="13" customWidth="1"/>
    <col min="7" max="7" width="21.28515625" style="12" customWidth="1"/>
    <col min="8" max="8" width="56.28515625" style="13" customWidth="1"/>
    <col min="9" max="9" width="21.5703125" style="14" customWidth="1"/>
    <col min="10" max="10" width="23" style="14" customWidth="1"/>
    <col min="11" max="11" width="11.28515625" style="8" customWidth="1"/>
    <col min="12" max="12" width="27.85546875" style="21" customWidth="1"/>
    <col min="13" max="13" width="14.28515625" style="21" customWidth="1"/>
    <col min="14" max="14" width="14.85546875" style="22" customWidth="1"/>
    <col min="15" max="15" width="14.85546875" style="21" customWidth="1"/>
    <col min="16" max="24" width="11.42578125" style="21" customWidth="1"/>
    <col min="25" max="25" width="12.42578125" style="21" customWidth="1"/>
    <col min="26" max="16384" width="8.85546875" style="8"/>
  </cols>
  <sheetData>
    <row r="1" spans="1:34">
      <c r="A1" s="78" t="s">
        <v>0</v>
      </c>
      <c r="B1" s="78"/>
      <c r="C1" s="78"/>
      <c r="D1" s="78"/>
      <c r="E1" s="78"/>
      <c r="F1" s="78"/>
      <c r="G1" s="78"/>
      <c r="H1" s="79"/>
      <c r="I1" s="78"/>
      <c r="J1" s="78"/>
      <c r="K1" s="78"/>
      <c r="L1" s="41"/>
      <c r="M1" s="41"/>
      <c r="N1" s="42"/>
      <c r="O1" s="41"/>
      <c r="P1" s="78" t="s">
        <v>1</v>
      </c>
      <c r="Q1" s="78"/>
      <c r="R1" s="78" t="s">
        <v>2</v>
      </c>
      <c r="S1" s="78"/>
      <c r="T1" s="78" t="s">
        <v>3</v>
      </c>
      <c r="U1" s="78"/>
      <c r="V1" s="41"/>
      <c r="W1" s="41"/>
      <c r="X1" s="41"/>
      <c r="Y1" s="41"/>
      <c r="Z1" s="43"/>
      <c r="AA1" s="43"/>
      <c r="AB1" s="43"/>
      <c r="AC1" s="43"/>
      <c r="AD1" s="43"/>
      <c r="AE1" s="43"/>
      <c r="AF1" s="43"/>
      <c r="AG1" s="43"/>
      <c r="AH1" s="43"/>
    </row>
    <row r="2" spans="1:34" s="30" customFormat="1" ht="54.6" customHeight="1">
      <c r="A2" s="31" t="s">
        <v>4</v>
      </c>
      <c r="B2" s="31" t="s">
        <v>5</v>
      </c>
      <c r="C2" s="31" t="s">
        <v>6</v>
      </c>
      <c r="D2" s="31" t="s">
        <v>255</v>
      </c>
      <c r="E2" s="31" t="s">
        <v>7</v>
      </c>
      <c r="F2" s="31" t="s">
        <v>8</v>
      </c>
      <c r="G2" s="31" t="s">
        <v>9</v>
      </c>
      <c r="H2" s="31" t="s">
        <v>10</v>
      </c>
      <c r="I2" s="32" t="s">
        <v>11</v>
      </c>
      <c r="J2" s="32" t="s">
        <v>12</v>
      </c>
      <c r="K2" s="31" t="s">
        <v>13</v>
      </c>
      <c r="L2" s="33" t="s">
        <v>14</v>
      </c>
      <c r="M2" s="33" t="s">
        <v>15</v>
      </c>
      <c r="N2" s="34" t="s">
        <v>16</v>
      </c>
      <c r="O2" s="35" t="s">
        <v>17</v>
      </c>
      <c r="P2" s="33" t="s">
        <v>18</v>
      </c>
      <c r="Q2" s="33" t="s">
        <v>19</v>
      </c>
      <c r="R2" s="33" t="s">
        <v>18</v>
      </c>
      <c r="S2" s="33" t="s">
        <v>19</v>
      </c>
      <c r="T2" s="33" t="s">
        <v>18</v>
      </c>
      <c r="U2" s="33" t="s">
        <v>19</v>
      </c>
      <c r="V2" s="39" t="s">
        <v>20</v>
      </c>
      <c r="W2" s="33" t="s">
        <v>21</v>
      </c>
      <c r="X2" s="33" t="s">
        <v>22</v>
      </c>
      <c r="Y2" s="36" t="s">
        <v>23</v>
      </c>
    </row>
    <row r="3" spans="1:34" ht="36.75" customHeight="1">
      <c r="A3" s="44">
        <v>2024</v>
      </c>
      <c r="B3" s="38" t="s">
        <v>24</v>
      </c>
      <c r="C3" s="44" t="s">
        <v>25</v>
      </c>
      <c r="D3" s="74">
        <f>IF(ISNUMBER(E3),E3,IFERROR(VALUE(LEFT(E3,FIND(" ",E3)-1)),1))</f>
        <v>4</v>
      </c>
      <c r="E3" s="38" t="s">
        <v>26</v>
      </c>
      <c r="F3" s="38" t="s">
        <v>27</v>
      </c>
      <c r="G3" s="1">
        <v>2024003050239</v>
      </c>
      <c r="H3" s="38" t="s">
        <v>28</v>
      </c>
      <c r="I3" s="3">
        <v>7046140299</v>
      </c>
      <c r="J3" s="3">
        <v>5636912239</v>
      </c>
      <c r="K3" s="2" t="s">
        <v>29</v>
      </c>
      <c r="L3" s="23" t="s">
        <v>30</v>
      </c>
      <c r="M3" s="59" t="s">
        <v>31</v>
      </c>
      <c r="N3" s="46">
        <v>45635</v>
      </c>
      <c r="O3" s="71">
        <v>45966</v>
      </c>
      <c r="P3" s="47">
        <v>99.45</v>
      </c>
      <c r="Q3" s="47">
        <v>99.87</v>
      </c>
      <c r="R3" s="23">
        <v>100</v>
      </c>
      <c r="S3" s="47">
        <v>99.87</v>
      </c>
      <c r="T3" s="65"/>
      <c r="U3" s="65"/>
      <c r="V3" s="23">
        <v>100</v>
      </c>
      <c r="W3" s="23">
        <v>100</v>
      </c>
      <c r="X3" s="59" t="s">
        <v>31</v>
      </c>
      <c r="Y3" s="23">
        <v>100</v>
      </c>
      <c r="Z3" s="43"/>
      <c r="AA3" s="43"/>
      <c r="AB3" s="43"/>
      <c r="AC3" s="43"/>
      <c r="AD3" s="43"/>
      <c r="AE3" s="43"/>
      <c r="AF3" s="43"/>
      <c r="AG3" s="43"/>
      <c r="AH3" s="43"/>
    </row>
    <row r="4" spans="1:34" ht="36.75" customHeight="1">
      <c r="A4" s="44">
        <v>2024</v>
      </c>
      <c r="B4" s="38" t="s">
        <v>32</v>
      </c>
      <c r="C4" s="44" t="s">
        <v>33</v>
      </c>
      <c r="D4" s="74">
        <f t="shared" ref="D4:D68" si="0">IF(ISNUMBER(E4),E4,IFERROR(VALUE(LEFT(E4,FIND(" ",E4)-1)),1))</f>
        <v>2</v>
      </c>
      <c r="E4" s="38" t="s">
        <v>34</v>
      </c>
      <c r="F4" s="38" t="s">
        <v>27</v>
      </c>
      <c r="G4" s="40">
        <v>2024003050246</v>
      </c>
      <c r="H4" s="38" t="s">
        <v>35</v>
      </c>
      <c r="I4" s="3">
        <v>4078127896</v>
      </c>
      <c r="J4" s="3">
        <v>3262502317</v>
      </c>
      <c r="K4" s="2" t="s">
        <v>29</v>
      </c>
      <c r="L4" s="23" t="s">
        <v>30</v>
      </c>
      <c r="M4" s="60" t="s">
        <v>36</v>
      </c>
      <c r="N4" s="46">
        <v>45637</v>
      </c>
      <c r="O4" s="46">
        <v>46079</v>
      </c>
      <c r="P4" s="24">
        <v>100</v>
      </c>
      <c r="Q4" s="24">
        <v>99.52</v>
      </c>
      <c r="R4" s="63">
        <v>100</v>
      </c>
      <c r="S4" s="66" t="s">
        <v>37</v>
      </c>
      <c r="T4" s="66">
        <v>100</v>
      </c>
      <c r="U4" s="66" t="s">
        <v>37</v>
      </c>
      <c r="V4" s="24">
        <v>68</v>
      </c>
      <c r="W4" s="24">
        <v>50</v>
      </c>
      <c r="X4" s="60">
        <v>100</v>
      </c>
      <c r="Y4" s="23">
        <v>100</v>
      </c>
      <c r="Z4" s="43"/>
      <c r="AA4" s="43"/>
      <c r="AB4" s="43"/>
      <c r="AC4" s="43"/>
      <c r="AD4" s="43"/>
      <c r="AE4" s="43"/>
      <c r="AF4" s="43"/>
      <c r="AG4" s="43"/>
      <c r="AH4" s="43"/>
    </row>
    <row r="5" spans="1:34" ht="36.75" customHeight="1">
      <c r="A5" s="44">
        <v>2024</v>
      </c>
      <c r="B5" s="38" t="s">
        <v>38</v>
      </c>
      <c r="C5" s="44" t="s">
        <v>25</v>
      </c>
      <c r="D5" s="74">
        <f t="shared" si="0"/>
        <v>2</v>
      </c>
      <c r="E5" s="38" t="s">
        <v>34</v>
      </c>
      <c r="F5" s="38" t="s">
        <v>27</v>
      </c>
      <c r="G5" s="1">
        <v>2024003050243</v>
      </c>
      <c r="H5" s="38" t="s">
        <v>39</v>
      </c>
      <c r="I5" s="3">
        <v>4907167940</v>
      </c>
      <c r="J5" s="3">
        <v>4047973265</v>
      </c>
      <c r="K5" s="2" t="s">
        <v>29</v>
      </c>
      <c r="L5" s="23" t="s">
        <v>30</v>
      </c>
      <c r="M5" s="60" t="s">
        <v>31</v>
      </c>
      <c r="N5" s="46">
        <v>45635</v>
      </c>
      <c r="O5" s="67">
        <v>46004</v>
      </c>
      <c r="P5" s="23">
        <v>99.25</v>
      </c>
      <c r="Q5" s="23">
        <v>99.97</v>
      </c>
      <c r="R5" s="63">
        <v>89</v>
      </c>
      <c r="S5" s="63">
        <v>100</v>
      </c>
      <c r="T5" s="63"/>
      <c r="U5" s="63"/>
      <c r="V5" s="23">
        <v>89</v>
      </c>
      <c r="W5" s="23">
        <v>100</v>
      </c>
      <c r="X5" s="60" t="s">
        <v>40</v>
      </c>
      <c r="Y5" s="23">
        <v>100</v>
      </c>
      <c r="Z5" s="43"/>
      <c r="AA5" s="43"/>
      <c r="AB5" s="43"/>
      <c r="AC5" s="43"/>
      <c r="AD5" s="43"/>
      <c r="AE5" s="43"/>
      <c r="AF5" s="43"/>
      <c r="AG5" s="43"/>
      <c r="AH5" s="43"/>
    </row>
    <row r="6" spans="1:34" ht="36.75" customHeight="1">
      <c r="A6" s="44">
        <v>2024</v>
      </c>
      <c r="B6" s="38" t="s">
        <v>41</v>
      </c>
      <c r="C6" s="48" t="s">
        <v>42</v>
      </c>
      <c r="D6" s="74">
        <f>IF(ISNUMBER(E6),E6,IFERROR(VALUE(LEFT(E6,FIND(" ",E6)-1)),1))</f>
        <v>1.8660000000000001</v>
      </c>
      <c r="E6" s="38" t="s">
        <v>273</v>
      </c>
      <c r="F6" s="38" t="s">
        <v>27</v>
      </c>
      <c r="G6" s="1">
        <v>2024053150037</v>
      </c>
      <c r="H6" s="38" t="s">
        <v>43</v>
      </c>
      <c r="I6" s="3">
        <v>3945999620</v>
      </c>
      <c r="J6" s="3">
        <v>3156799696</v>
      </c>
      <c r="K6" s="2" t="s">
        <v>29</v>
      </c>
      <c r="L6" s="23" t="s">
        <v>30</v>
      </c>
      <c r="M6" s="60" t="s">
        <v>31</v>
      </c>
      <c r="N6" s="46">
        <v>45635</v>
      </c>
      <c r="O6" s="67">
        <v>45838</v>
      </c>
      <c r="P6" s="23">
        <v>99.9</v>
      </c>
      <c r="Q6" s="23">
        <v>100</v>
      </c>
      <c r="R6" s="23">
        <v>100</v>
      </c>
      <c r="S6" s="23">
        <v>100</v>
      </c>
      <c r="T6" s="63"/>
      <c r="U6" s="63"/>
      <c r="V6" s="23"/>
      <c r="W6" s="23"/>
      <c r="X6" s="60" t="s">
        <v>31</v>
      </c>
      <c r="Y6" s="23">
        <v>100</v>
      </c>
      <c r="Z6" s="43"/>
      <c r="AA6" s="43"/>
      <c r="AB6" s="43"/>
      <c r="AC6" s="43"/>
      <c r="AD6" s="43"/>
      <c r="AE6" s="43"/>
      <c r="AF6" s="43"/>
      <c r="AG6" s="43"/>
      <c r="AH6" s="43"/>
    </row>
    <row r="7" spans="1:34" ht="36.75" customHeight="1">
      <c r="A7" s="44">
        <v>2024</v>
      </c>
      <c r="B7" s="38" t="s">
        <v>44</v>
      </c>
      <c r="C7" s="44" t="s">
        <v>33</v>
      </c>
      <c r="D7" s="74">
        <f t="shared" si="0"/>
        <v>2</v>
      </c>
      <c r="E7" s="38" t="s">
        <v>34</v>
      </c>
      <c r="F7" s="38" t="s">
        <v>27</v>
      </c>
      <c r="G7" s="40">
        <v>2024003050241</v>
      </c>
      <c r="H7" s="38" t="s">
        <v>45</v>
      </c>
      <c r="I7" s="3">
        <v>4232130933.4000001</v>
      </c>
      <c r="J7" s="3">
        <v>3385704746.4000001</v>
      </c>
      <c r="K7" s="2" t="s">
        <v>29</v>
      </c>
      <c r="L7" s="23" t="s">
        <v>30</v>
      </c>
      <c r="M7" s="60" t="s">
        <v>46</v>
      </c>
      <c r="N7" s="25">
        <v>45636</v>
      </c>
      <c r="O7" s="69">
        <v>46306</v>
      </c>
      <c r="P7" s="23">
        <v>21.71</v>
      </c>
      <c r="Q7" s="23">
        <v>58.62</v>
      </c>
      <c r="R7" s="63" t="s">
        <v>47</v>
      </c>
      <c r="S7" s="66">
        <v>60</v>
      </c>
      <c r="T7" s="66" t="s">
        <v>48</v>
      </c>
      <c r="U7" s="66">
        <v>60</v>
      </c>
      <c r="V7" s="72">
        <v>50</v>
      </c>
      <c r="W7" s="23">
        <v>0</v>
      </c>
      <c r="X7" s="60">
        <v>100</v>
      </c>
      <c r="Y7" s="23">
        <v>35</v>
      </c>
      <c r="Z7" s="43"/>
      <c r="AA7" s="43"/>
      <c r="AB7" s="43"/>
      <c r="AC7" s="43"/>
      <c r="AD7" s="43"/>
      <c r="AE7" s="43"/>
      <c r="AF7" s="43"/>
      <c r="AG7" s="43"/>
      <c r="AH7" s="43"/>
    </row>
    <row r="8" spans="1:34" ht="36.75" customHeight="1">
      <c r="A8" s="44">
        <v>2024</v>
      </c>
      <c r="B8" s="38" t="s">
        <v>49</v>
      </c>
      <c r="C8" s="44" t="s">
        <v>42</v>
      </c>
      <c r="D8" s="74">
        <f t="shared" si="0"/>
        <v>0.78200000000000003</v>
      </c>
      <c r="E8" s="80" t="s">
        <v>274</v>
      </c>
      <c r="F8" s="38" t="s">
        <v>27</v>
      </c>
      <c r="G8" s="1">
        <v>2024051070040</v>
      </c>
      <c r="H8" s="38" t="s">
        <v>50</v>
      </c>
      <c r="I8" s="3">
        <v>1645755840</v>
      </c>
      <c r="J8" s="3">
        <v>1316604672</v>
      </c>
      <c r="K8" s="1" t="s">
        <v>29</v>
      </c>
      <c r="L8" s="26" t="s">
        <v>30</v>
      </c>
      <c r="M8" s="60" t="s">
        <v>31</v>
      </c>
      <c r="N8" s="46">
        <v>45636</v>
      </c>
      <c r="O8" s="67">
        <v>45759</v>
      </c>
      <c r="P8" s="23">
        <v>100</v>
      </c>
      <c r="Q8" s="23">
        <v>100</v>
      </c>
      <c r="R8" s="23">
        <v>100</v>
      </c>
      <c r="S8" s="23">
        <v>100</v>
      </c>
      <c r="T8" s="66"/>
      <c r="U8" s="66"/>
      <c r="V8" s="23" t="s">
        <v>40</v>
      </c>
      <c r="W8" s="23" t="s">
        <v>40</v>
      </c>
      <c r="X8" s="60" t="s">
        <v>31</v>
      </c>
      <c r="Y8" s="23">
        <v>100</v>
      </c>
      <c r="Z8" s="43"/>
      <c r="AA8" s="43"/>
      <c r="AB8" s="43"/>
      <c r="AC8" s="43"/>
      <c r="AD8" s="43"/>
      <c r="AE8" s="43"/>
      <c r="AF8" s="43"/>
      <c r="AG8" s="43"/>
      <c r="AH8" s="43"/>
    </row>
    <row r="9" spans="1:34" ht="36.75" customHeight="1">
      <c r="A9" s="44">
        <v>2024</v>
      </c>
      <c r="B9" s="38" t="s">
        <v>52</v>
      </c>
      <c r="C9" s="44" t="s">
        <v>25</v>
      </c>
      <c r="D9" s="74">
        <f t="shared" si="0"/>
        <v>2</v>
      </c>
      <c r="E9" s="38" t="s">
        <v>34</v>
      </c>
      <c r="F9" s="38" t="s">
        <v>27</v>
      </c>
      <c r="G9" s="40">
        <v>2024057560039</v>
      </c>
      <c r="H9" s="38" t="s">
        <v>53</v>
      </c>
      <c r="I9" s="3">
        <v>4699883725</v>
      </c>
      <c r="J9" s="3">
        <v>3759906980</v>
      </c>
      <c r="K9" s="2" t="s">
        <v>29</v>
      </c>
      <c r="L9" s="23" t="s">
        <v>30</v>
      </c>
      <c r="M9" s="60" t="s">
        <v>46</v>
      </c>
      <c r="N9" s="25">
        <v>45636</v>
      </c>
      <c r="O9" s="69">
        <v>46257</v>
      </c>
      <c r="P9" s="23">
        <v>90.52</v>
      </c>
      <c r="Q9" s="23">
        <v>85.38</v>
      </c>
      <c r="R9" s="63" t="s">
        <v>54</v>
      </c>
      <c r="S9" s="66" t="s">
        <v>55</v>
      </c>
      <c r="T9" s="66" t="s">
        <v>54</v>
      </c>
      <c r="U9" s="66" t="s">
        <v>56</v>
      </c>
      <c r="V9" s="24">
        <v>100</v>
      </c>
      <c r="W9" s="23">
        <v>33.5</v>
      </c>
      <c r="X9" s="60">
        <v>100</v>
      </c>
      <c r="Y9" s="23">
        <v>100</v>
      </c>
      <c r="Z9" s="43"/>
      <c r="AA9" s="43"/>
      <c r="AB9" s="43"/>
      <c r="AC9" s="43"/>
      <c r="AD9" s="43"/>
      <c r="AE9" s="43"/>
      <c r="AF9" s="43"/>
      <c r="AG9" s="43"/>
      <c r="AH9" s="43"/>
    </row>
    <row r="10" spans="1:34" ht="36.75" customHeight="1">
      <c r="A10" s="44">
        <v>2024</v>
      </c>
      <c r="B10" s="38" t="s">
        <v>57</v>
      </c>
      <c r="C10" s="44" t="s">
        <v>58</v>
      </c>
      <c r="D10" s="74">
        <f>IF(ISNUMBER(E10),E10,IFERROR(VALUE(LEFT(E10,FIND(" ",E10)-1)),1))</f>
        <v>1.3</v>
      </c>
      <c r="E10" s="80" t="s">
        <v>275</v>
      </c>
      <c r="F10" s="38" t="s">
        <v>27</v>
      </c>
      <c r="G10" s="40">
        <v>2024057890040</v>
      </c>
      <c r="H10" s="38" t="s">
        <v>59</v>
      </c>
      <c r="I10" s="3">
        <v>3035607509</v>
      </c>
      <c r="J10" s="3">
        <v>2428486007.1999998</v>
      </c>
      <c r="K10" s="2" t="s">
        <v>29</v>
      </c>
      <c r="L10" s="23" t="s">
        <v>30</v>
      </c>
      <c r="M10" s="60" t="s">
        <v>36</v>
      </c>
      <c r="N10" s="46">
        <v>45628</v>
      </c>
      <c r="O10" s="69">
        <v>45926</v>
      </c>
      <c r="P10" s="23">
        <v>98.69</v>
      </c>
      <c r="Q10" s="23">
        <v>100</v>
      </c>
      <c r="R10" s="63" t="s">
        <v>60</v>
      </c>
      <c r="S10" s="66">
        <v>100</v>
      </c>
      <c r="T10" s="66" t="s">
        <v>60</v>
      </c>
      <c r="U10" s="66">
        <v>100</v>
      </c>
      <c r="V10" s="23">
        <v>100</v>
      </c>
      <c r="W10" s="23" t="s">
        <v>40</v>
      </c>
      <c r="X10" s="60" t="s">
        <v>40</v>
      </c>
      <c r="Y10" s="23">
        <v>100</v>
      </c>
      <c r="Z10" s="43"/>
      <c r="AA10" s="43"/>
      <c r="AB10" s="43"/>
      <c r="AC10" s="43"/>
      <c r="AD10" s="43"/>
      <c r="AE10" s="43"/>
      <c r="AF10" s="43"/>
      <c r="AG10" s="43"/>
      <c r="AH10" s="43"/>
    </row>
    <row r="11" spans="1:34" ht="36.75" customHeight="1">
      <c r="A11" s="44">
        <v>2024</v>
      </c>
      <c r="B11" s="38" t="s">
        <v>61</v>
      </c>
      <c r="C11" s="44" t="s">
        <v>25</v>
      </c>
      <c r="D11" s="74">
        <f t="shared" si="0"/>
        <v>1</v>
      </c>
      <c r="E11" s="38" t="s">
        <v>62</v>
      </c>
      <c r="F11" s="38" t="s">
        <v>27</v>
      </c>
      <c r="G11" s="40">
        <v>2024054830016</v>
      </c>
      <c r="H11" s="38" t="s">
        <v>63</v>
      </c>
      <c r="I11" s="3">
        <v>2596905323</v>
      </c>
      <c r="J11" s="3">
        <v>2077524258</v>
      </c>
      <c r="K11" s="2" t="s">
        <v>29</v>
      </c>
      <c r="L11" s="23" t="s">
        <v>30</v>
      </c>
      <c r="M11" s="60" t="s">
        <v>36</v>
      </c>
      <c r="N11" s="46">
        <v>45636</v>
      </c>
      <c r="O11" s="69">
        <v>45940</v>
      </c>
      <c r="P11" s="23">
        <v>100</v>
      </c>
      <c r="Q11" s="23">
        <v>89.24</v>
      </c>
      <c r="R11" s="63">
        <v>71</v>
      </c>
      <c r="S11" s="63">
        <v>90</v>
      </c>
      <c r="T11" s="63">
        <v>100</v>
      </c>
      <c r="U11" s="63" t="s">
        <v>64</v>
      </c>
      <c r="V11" s="23">
        <v>71</v>
      </c>
      <c r="W11" s="23">
        <v>90</v>
      </c>
      <c r="X11" s="60" t="s">
        <v>40</v>
      </c>
      <c r="Y11" s="23">
        <v>100</v>
      </c>
      <c r="Z11" s="43"/>
      <c r="AA11" s="43"/>
      <c r="AB11" s="43"/>
      <c r="AC11" s="43"/>
      <c r="AD11" s="43"/>
      <c r="AE11" s="43"/>
      <c r="AF11" s="43"/>
      <c r="AG11" s="43"/>
      <c r="AH11" s="43"/>
    </row>
    <row r="12" spans="1:34" ht="36.75" customHeight="1">
      <c r="A12" s="44">
        <v>2024</v>
      </c>
      <c r="B12" s="38" t="s">
        <v>65</v>
      </c>
      <c r="C12" s="44" t="s">
        <v>66</v>
      </c>
      <c r="D12" s="74">
        <f>IF(ISNUMBER(E12),E12,IFERROR(VALUE(LEFT(E12,FIND(" ",E12)-1)),1))</f>
        <v>0.95</v>
      </c>
      <c r="E12" s="38" t="s">
        <v>276</v>
      </c>
      <c r="F12" s="38" t="s">
        <v>27</v>
      </c>
      <c r="G12" s="40">
        <v>2024003050236</v>
      </c>
      <c r="H12" s="38" t="s">
        <v>67</v>
      </c>
      <c r="I12" s="3">
        <v>1513619665</v>
      </c>
      <c r="J12" s="3">
        <v>1210895732</v>
      </c>
      <c r="K12" s="2" t="s">
        <v>68</v>
      </c>
      <c r="L12" s="23" t="s">
        <v>30</v>
      </c>
      <c r="M12" s="60" t="s">
        <v>36</v>
      </c>
      <c r="N12" s="46">
        <v>45618</v>
      </c>
      <c r="O12" s="69">
        <v>45501</v>
      </c>
      <c r="P12" s="23">
        <v>100</v>
      </c>
      <c r="Q12" s="23">
        <v>62.65</v>
      </c>
      <c r="R12" s="63" t="s">
        <v>69</v>
      </c>
      <c r="S12" s="66" t="s">
        <v>70</v>
      </c>
      <c r="T12" s="66" t="s">
        <v>69</v>
      </c>
      <c r="U12" s="66" t="s">
        <v>70</v>
      </c>
      <c r="V12" s="23">
        <v>51</v>
      </c>
      <c r="W12" s="23">
        <v>90</v>
      </c>
      <c r="X12" s="60">
        <v>90</v>
      </c>
      <c r="Y12" s="24">
        <v>100</v>
      </c>
      <c r="Z12" s="43"/>
      <c r="AA12" s="43"/>
      <c r="AB12" s="43"/>
      <c r="AC12" s="43"/>
      <c r="AD12" s="43"/>
      <c r="AE12" s="43"/>
      <c r="AF12" s="43"/>
      <c r="AG12" s="43"/>
      <c r="AH12" s="43"/>
    </row>
    <row r="13" spans="1:34" ht="36.75" customHeight="1">
      <c r="A13" s="44">
        <v>2024</v>
      </c>
      <c r="B13" s="38" t="s">
        <v>71</v>
      </c>
      <c r="C13" s="48" t="s">
        <v>42</v>
      </c>
      <c r="D13" s="74">
        <f t="shared" si="0"/>
        <v>2</v>
      </c>
      <c r="E13" s="38" t="s">
        <v>34</v>
      </c>
      <c r="F13" s="38" t="s">
        <v>27</v>
      </c>
      <c r="G13" s="40">
        <v>2024003050238</v>
      </c>
      <c r="H13" s="38" t="s">
        <v>72</v>
      </c>
      <c r="I13" s="3">
        <v>4622246270</v>
      </c>
      <c r="J13" s="3">
        <v>3697797016</v>
      </c>
      <c r="K13" s="2" t="s">
        <v>68</v>
      </c>
      <c r="L13" s="23" t="s">
        <v>30</v>
      </c>
      <c r="M13" s="60" t="s">
        <v>31</v>
      </c>
      <c r="N13" s="46">
        <v>45635</v>
      </c>
      <c r="O13" s="67">
        <v>45838</v>
      </c>
      <c r="P13" s="23">
        <v>90.22</v>
      </c>
      <c r="Q13" s="23">
        <v>100</v>
      </c>
      <c r="R13" s="23">
        <v>100</v>
      </c>
      <c r="S13" s="23">
        <v>100</v>
      </c>
      <c r="T13" s="63"/>
      <c r="U13" s="63"/>
      <c r="V13" s="64"/>
      <c r="W13" s="23"/>
      <c r="X13" s="60" t="s">
        <v>31</v>
      </c>
      <c r="Y13" s="23">
        <v>100</v>
      </c>
      <c r="Z13" s="43"/>
      <c r="AA13" s="43"/>
      <c r="AB13" s="43"/>
      <c r="AC13" s="43"/>
      <c r="AD13" s="43"/>
      <c r="AE13" s="43"/>
      <c r="AF13" s="43"/>
      <c r="AG13" s="43"/>
      <c r="AH13" s="43"/>
    </row>
    <row r="14" spans="1:34" ht="36.75" customHeight="1">
      <c r="A14" s="48">
        <v>2024</v>
      </c>
      <c r="B14" s="38" t="s">
        <v>73</v>
      </c>
      <c r="C14" s="48" t="s">
        <v>58</v>
      </c>
      <c r="D14" s="74">
        <f t="shared" si="0"/>
        <v>1</v>
      </c>
      <c r="E14" s="38" t="s">
        <v>62</v>
      </c>
      <c r="F14" s="38" t="s">
        <v>27</v>
      </c>
      <c r="G14" s="40">
        <v>2024003050244</v>
      </c>
      <c r="H14" s="38" t="s">
        <v>74</v>
      </c>
      <c r="I14" s="4">
        <v>2177618498</v>
      </c>
      <c r="J14" s="4">
        <v>1742094798.4000001</v>
      </c>
      <c r="K14" s="5" t="s">
        <v>29</v>
      </c>
      <c r="L14" s="24" t="s">
        <v>30</v>
      </c>
      <c r="M14" s="60" t="s">
        <v>46</v>
      </c>
      <c r="N14" s="25">
        <v>45636</v>
      </c>
      <c r="O14" s="68" t="s">
        <v>75</v>
      </c>
      <c r="P14" s="27">
        <v>0</v>
      </c>
      <c r="Q14" s="27">
        <v>120</v>
      </c>
      <c r="R14" s="63">
        <v>0</v>
      </c>
      <c r="S14" s="63" t="s">
        <v>76</v>
      </c>
      <c r="T14" s="63">
        <v>0</v>
      </c>
      <c r="U14" s="63" t="s">
        <v>76</v>
      </c>
      <c r="V14" s="27">
        <v>0</v>
      </c>
      <c r="W14" s="27">
        <v>0</v>
      </c>
      <c r="X14" s="60" t="s">
        <v>40</v>
      </c>
      <c r="Y14" s="24">
        <v>100</v>
      </c>
      <c r="Z14" s="43"/>
      <c r="AA14" s="43"/>
      <c r="AB14" s="43"/>
      <c r="AC14" s="43"/>
      <c r="AD14" s="43"/>
      <c r="AE14" s="43"/>
      <c r="AF14" s="43"/>
      <c r="AG14" s="43"/>
      <c r="AH14" s="43"/>
    </row>
    <row r="15" spans="1:34" ht="36.75" customHeight="1">
      <c r="A15" s="44">
        <v>2024</v>
      </c>
      <c r="B15" s="38" t="s">
        <v>77</v>
      </c>
      <c r="C15" s="44" t="s">
        <v>42</v>
      </c>
      <c r="D15" s="74">
        <f>IF(ISNUMBER(E15),E15,IFERROR(VALUE(LEFT(E15,FIND(" ",E15)-1)),1))</f>
        <v>1.1000000000000001</v>
      </c>
      <c r="E15" s="38" t="s">
        <v>268</v>
      </c>
      <c r="F15" s="38" t="s">
        <v>27</v>
      </c>
      <c r="G15" s="1">
        <v>2024003050242</v>
      </c>
      <c r="H15" s="38" t="s">
        <v>78</v>
      </c>
      <c r="I15" s="3">
        <v>2688840891</v>
      </c>
      <c r="J15" s="3">
        <v>2151072713</v>
      </c>
      <c r="K15" s="2" t="s">
        <v>29</v>
      </c>
      <c r="L15" s="23" t="s">
        <v>30</v>
      </c>
      <c r="M15" s="60" t="s">
        <v>31</v>
      </c>
      <c r="N15" s="46">
        <v>45637</v>
      </c>
      <c r="O15" s="67">
        <v>45932</v>
      </c>
      <c r="P15" s="23">
        <v>100</v>
      </c>
      <c r="Q15" s="23">
        <v>99.99</v>
      </c>
      <c r="R15" s="23">
        <v>100</v>
      </c>
      <c r="S15" s="23">
        <v>99.99</v>
      </c>
      <c r="T15" s="63"/>
      <c r="U15" s="63"/>
      <c r="V15" s="23" t="s">
        <v>79</v>
      </c>
      <c r="W15" s="23">
        <v>100</v>
      </c>
      <c r="X15" s="60" t="s">
        <v>31</v>
      </c>
      <c r="Y15" s="23">
        <v>100</v>
      </c>
      <c r="Z15" s="43"/>
      <c r="AA15" s="43"/>
      <c r="AB15" s="43"/>
      <c r="AC15" s="43"/>
      <c r="AD15" s="43"/>
      <c r="AE15" s="43"/>
      <c r="AF15" s="43"/>
      <c r="AG15" s="43"/>
      <c r="AH15" s="43"/>
    </row>
    <row r="16" spans="1:34" ht="36.75" customHeight="1">
      <c r="A16" s="44">
        <v>2024</v>
      </c>
      <c r="B16" s="38" t="s">
        <v>80</v>
      </c>
      <c r="C16" s="44" t="s">
        <v>42</v>
      </c>
      <c r="D16" s="74">
        <f t="shared" si="0"/>
        <v>3</v>
      </c>
      <c r="E16" s="38" t="s">
        <v>81</v>
      </c>
      <c r="F16" s="38" t="s">
        <v>27</v>
      </c>
      <c r="G16" s="40">
        <v>2024003050245</v>
      </c>
      <c r="H16" s="38" t="s">
        <v>82</v>
      </c>
      <c r="I16" s="3">
        <v>6076769979</v>
      </c>
      <c r="J16" s="3">
        <v>4861415983</v>
      </c>
      <c r="K16" s="2" t="s">
        <v>29</v>
      </c>
      <c r="L16" s="23" t="s">
        <v>30</v>
      </c>
      <c r="M16" s="60" t="s">
        <v>46</v>
      </c>
      <c r="N16" s="25">
        <v>45635</v>
      </c>
      <c r="O16" s="69">
        <v>46354</v>
      </c>
      <c r="P16" s="23">
        <v>71.45</v>
      </c>
      <c r="Q16" s="23">
        <v>59.95</v>
      </c>
      <c r="R16" s="63" t="s">
        <v>83</v>
      </c>
      <c r="S16" s="63" t="s">
        <v>84</v>
      </c>
      <c r="T16" s="63" t="s">
        <v>85</v>
      </c>
      <c r="U16" s="63" t="s">
        <v>86</v>
      </c>
      <c r="V16" s="24">
        <v>50</v>
      </c>
      <c r="W16" s="23">
        <v>66.400000000000006</v>
      </c>
      <c r="X16" s="60">
        <v>100</v>
      </c>
      <c r="Y16" s="23">
        <v>81</v>
      </c>
      <c r="Z16" s="43"/>
      <c r="AA16" s="43"/>
      <c r="AB16" s="43"/>
      <c r="AC16" s="43"/>
      <c r="AD16" s="43"/>
      <c r="AE16" s="43"/>
      <c r="AF16" s="43"/>
      <c r="AG16" s="43"/>
      <c r="AH16" s="43"/>
    </row>
    <row r="17" spans="1:34" ht="36.75" customHeight="1">
      <c r="A17" s="44">
        <v>2024</v>
      </c>
      <c r="B17" s="38" t="s">
        <v>87</v>
      </c>
      <c r="C17" s="44" t="s">
        <v>58</v>
      </c>
      <c r="D17" s="74">
        <f t="shared" si="0"/>
        <v>3</v>
      </c>
      <c r="E17" s="38" t="s">
        <v>81</v>
      </c>
      <c r="F17" s="38" t="s">
        <v>27</v>
      </c>
      <c r="G17" s="40">
        <v>2024003050237</v>
      </c>
      <c r="H17" s="38" t="s">
        <v>88</v>
      </c>
      <c r="I17" s="3">
        <v>5449013721.6000004</v>
      </c>
      <c r="J17" s="3">
        <v>4359210977.6000004</v>
      </c>
      <c r="K17" s="2" t="s">
        <v>29</v>
      </c>
      <c r="L17" s="23" t="s">
        <v>30</v>
      </c>
      <c r="M17" s="60" t="s">
        <v>36</v>
      </c>
      <c r="N17" s="25">
        <v>45635</v>
      </c>
      <c r="O17" s="69">
        <v>46056</v>
      </c>
      <c r="P17" s="23">
        <v>100</v>
      </c>
      <c r="Q17" s="23">
        <v>79.94</v>
      </c>
      <c r="R17" s="63">
        <v>100</v>
      </c>
      <c r="S17" s="63" t="s">
        <v>89</v>
      </c>
      <c r="T17" s="63">
        <v>100</v>
      </c>
      <c r="U17" s="63" t="s">
        <v>89</v>
      </c>
      <c r="V17" s="23">
        <v>100</v>
      </c>
      <c r="W17" s="23">
        <v>50</v>
      </c>
      <c r="X17" s="60">
        <v>90</v>
      </c>
      <c r="Y17" s="23">
        <v>100</v>
      </c>
      <c r="Z17" s="43"/>
      <c r="AA17" s="43"/>
      <c r="AB17" s="43"/>
      <c r="AC17" s="43"/>
      <c r="AD17" s="43"/>
      <c r="AE17" s="43"/>
      <c r="AF17" s="43"/>
      <c r="AG17" s="43"/>
      <c r="AH17" s="43"/>
    </row>
    <row r="18" spans="1:34" ht="36.75" customHeight="1">
      <c r="A18" s="44">
        <v>2024</v>
      </c>
      <c r="B18" s="38" t="s">
        <v>90</v>
      </c>
      <c r="C18" s="48" t="s">
        <v>25</v>
      </c>
      <c r="D18" s="74">
        <f t="shared" si="0"/>
        <v>1.5</v>
      </c>
      <c r="E18" s="38" t="s">
        <v>256</v>
      </c>
      <c r="F18" s="38" t="s">
        <v>27</v>
      </c>
      <c r="G18" s="40">
        <v>2024051970041</v>
      </c>
      <c r="H18" s="38" t="s">
        <v>91</v>
      </c>
      <c r="I18" s="3">
        <v>3445926513</v>
      </c>
      <c r="J18" s="3">
        <v>2756741210</v>
      </c>
      <c r="K18" s="2" t="s">
        <v>29</v>
      </c>
      <c r="L18" s="23" t="s">
        <v>30</v>
      </c>
      <c r="M18" s="60" t="s">
        <v>31</v>
      </c>
      <c r="N18" s="46">
        <v>45636</v>
      </c>
      <c r="O18" s="67">
        <v>45878</v>
      </c>
      <c r="P18" s="23">
        <v>96.56</v>
      </c>
      <c r="Q18" s="23">
        <v>99.99</v>
      </c>
      <c r="R18" s="23">
        <v>100</v>
      </c>
      <c r="S18" s="23">
        <v>99.99</v>
      </c>
      <c r="T18" s="63"/>
      <c r="U18" s="63"/>
      <c r="V18" s="23"/>
      <c r="W18" s="23"/>
      <c r="X18" s="60" t="s">
        <v>31</v>
      </c>
      <c r="Y18" s="23">
        <v>100</v>
      </c>
      <c r="Z18" s="43"/>
      <c r="AA18" s="43"/>
      <c r="AB18" s="43"/>
      <c r="AC18" s="43"/>
      <c r="AD18" s="43"/>
      <c r="AE18" s="43"/>
      <c r="AF18" s="43"/>
      <c r="AG18" s="43"/>
      <c r="AH18" s="43"/>
    </row>
    <row r="19" spans="1:34" ht="36.75" customHeight="1">
      <c r="A19" s="44">
        <v>2024</v>
      </c>
      <c r="B19" s="49" t="s">
        <v>92</v>
      </c>
      <c r="C19" s="44" t="s">
        <v>93</v>
      </c>
      <c r="D19" s="74">
        <f t="shared" si="0"/>
        <v>320</v>
      </c>
      <c r="E19" s="38" t="s">
        <v>94</v>
      </c>
      <c r="F19" s="38" t="s">
        <v>95</v>
      </c>
      <c r="G19" s="40">
        <v>20243201010075</v>
      </c>
      <c r="H19" s="38" t="s">
        <v>96</v>
      </c>
      <c r="I19" s="3">
        <v>15664988520</v>
      </c>
      <c r="J19" s="3">
        <v>15000000000</v>
      </c>
      <c r="K19" s="77">
        <v>0.2</v>
      </c>
      <c r="L19" s="23" t="s">
        <v>97</v>
      </c>
      <c r="M19" s="60" t="s">
        <v>46</v>
      </c>
      <c r="N19" s="46">
        <v>45652</v>
      </c>
      <c r="O19" s="67">
        <v>45792</v>
      </c>
      <c r="P19" s="23"/>
      <c r="Q19" s="23"/>
      <c r="R19" s="23">
        <v>28.8</v>
      </c>
      <c r="S19" s="23">
        <v>24</v>
      </c>
      <c r="T19" s="23">
        <v>40.75</v>
      </c>
      <c r="U19" s="23">
        <v>38.89</v>
      </c>
      <c r="V19" s="23"/>
      <c r="W19" s="23"/>
      <c r="X19" s="60">
        <v>100</v>
      </c>
      <c r="Y19" s="23"/>
      <c r="Z19" s="43"/>
      <c r="AA19" s="43"/>
      <c r="AB19" s="43"/>
      <c r="AC19" s="43"/>
      <c r="AD19" s="43"/>
      <c r="AE19" s="43"/>
      <c r="AF19" s="43"/>
      <c r="AG19" s="43"/>
      <c r="AH19" s="43"/>
    </row>
    <row r="20" spans="1:34" ht="36.75" customHeight="1">
      <c r="A20" s="44">
        <v>2025</v>
      </c>
      <c r="B20" s="49" t="s">
        <v>98</v>
      </c>
      <c r="C20" s="44" t="s">
        <v>58</v>
      </c>
      <c r="D20" s="74">
        <f t="shared" si="0"/>
        <v>3.5</v>
      </c>
      <c r="E20" s="38" t="s">
        <v>257</v>
      </c>
      <c r="F20" s="38" t="s">
        <v>27</v>
      </c>
      <c r="G20" s="40">
        <v>2025003050003</v>
      </c>
      <c r="H20" s="38" t="s">
        <v>99</v>
      </c>
      <c r="I20" s="3">
        <v>5581655075</v>
      </c>
      <c r="J20" s="51">
        <v>4519742225</v>
      </c>
      <c r="K20" s="2" t="s">
        <v>29</v>
      </c>
      <c r="L20" s="23" t="s">
        <v>30</v>
      </c>
      <c r="M20" s="60" t="s">
        <v>46</v>
      </c>
      <c r="N20" s="25">
        <v>45768</v>
      </c>
      <c r="O20" s="69">
        <v>46243</v>
      </c>
      <c r="P20" s="24">
        <v>97</v>
      </c>
      <c r="Q20" s="24">
        <v>61</v>
      </c>
      <c r="R20" s="63">
        <v>97.04</v>
      </c>
      <c r="S20" s="63">
        <v>60.54</v>
      </c>
      <c r="T20" s="63">
        <v>97.04</v>
      </c>
      <c r="U20" s="63">
        <v>60.54</v>
      </c>
      <c r="V20" s="24">
        <v>100</v>
      </c>
      <c r="W20" s="24">
        <v>82</v>
      </c>
      <c r="X20" s="60">
        <v>77</v>
      </c>
      <c r="Y20" s="24"/>
      <c r="Z20" s="43"/>
      <c r="AA20" s="43"/>
      <c r="AB20" s="43"/>
      <c r="AC20" s="43"/>
      <c r="AD20" s="43"/>
      <c r="AE20" s="43"/>
      <c r="AF20" s="43"/>
      <c r="AG20" s="43"/>
      <c r="AH20" s="43"/>
    </row>
    <row r="21" spans="1:34" ht="36.75" customHeight="1">
      <c r="A21" s="44">
        <v>2025</v>
      </c>
      <c r="B21" s="49" t="s">
        <v>100</v>
      </c>
      <c r="C21" s="44" t="s">
        <v>58</v>
      </c>
      <c r="D21" s="74">
        <f t="shared" si="0"/>
        <v>1.2</v>
      </c>
      <c r="E21" s="38" t="s">
        <v>258</v>
      </c>
      <c r="F21" s="38" t="s">
        <v>27</v>
      </c>
      <c r="G21" s="40">
        <v>2025003050008</v>
      </c>
      <c r="H21" s="38" t="s">
        <v>101</v>
      </c>
      <c r="I21" s="3">
        <v>2661301361.5999999</v>
      </c>
      <c r="J21" s="51">
        <v>2129041089.5999999</v>
      </c>
      <c r="K21" s="2" t="s">
        <v>29</v>
      </c>
      <c r="L21" s="23" t="s">
        <v>30</v>
      </c>
      <c r="M21" s="60" t="s">
        <v>36</v>
      </c>
      <c r="N21" s="46">
        <v>45818</v>
      </c>
      <c r="O21" s="69">
        <v>46015</v>
      </c>
      <c r="P21" s="47">
        <v>100</v>
      </c>
      <c r="Q21" s="47">
        <v>100</v>
      </c>
      <c r="R21" s="63">
        <v>100</v>
      </c>
      <c r="S21" s="63">
        <v>100</v>
      </c>
      <c r="T21" s="63">
        <v>100</v>
      </c>
      <c r="U21" s="63">
        <v>100</v>
      </c>
      <c r="V21" s="47">
        <v>100</v>
      </c>
      <c r="W21" s="47">
        <v>100</v>
      </c>
      <c r="X21" s="60" t="s">
        <v>40</v>
      </c>
      <c r="Y21" s="47">
        <v>100</v>
      </c>
      <c r="Z21" s="43"/>
      <c r="AA21" s="43"/>
      <c r="AB21" s="43"/>
      <c r="AC21" s="43"/>
      <c r="AD21" s="43"/>
      <c r="AE21" s="43"/>
      <c r="AF21" s="43"/>
      <c r="AG21" s="43"/>
      <c r="AH21" s="43"/>
    </row>
    <row r="22" spans="1:34" ht="36.75" customHeight="1">
      <c r="A22" s="44">
        <v>2025</v>
      </c>
      <c r="B22" s="49" t="s">
        <v>57</v>
      </c>
      <c r="C22" s="44" t="s">
        <v>58</v>
      </c>
      <c r="D22" s="75">
        <f t="shared" si="0"/>
        <v>6.9</v>
      </c>
      <c r="E22" s="38" t="s">
        <v>259</v>
      </c>
      <c r="F22" s="38" t="s">
        <v>102</v>
      </c>
      <c r="G22" s="40">
        <v>2025003050002</v>
      </c>
      <c r="H22" s="38" t="s">
        <v>103</v>
      </c>
      <c r="I22" s="3">
        <v>24272420632</v>
      </c>
      <c r="J22" s="51">
        <v>24272420632</v>
      </c>
      <c r="K22" s="2" t="s">
        <v>29</v>
      </c>
      <c r="L22" s="23" t="s">
        <v>97</v>
      </c>
      <c r="M22" s="60" t="s">
        <v>46</v>
      </c>
      <c r="N22" s="25">
        <v>45805</v>
      </c>
      <c r="O22" s="69">
        <v>46599</v>
      </c>
      <c r="P22" s="23">
        <v>7.59</v>
      </c>
      <c r="Q22" s="23">
        <v>3</v>
      </c>
      <c r="R22" s="63">
        <v>13.08</v>
      </c>
      <c r="S22" s="63">
        <v>7.59</v>
      </c>
      <c r="T22" s="63">
        <v>21.74</v>
      </c>
      <c r="U22" s="63">
        <v>21.74</v>
      </c>
      <c r="V22" s="24">
        <v>100</v>
      </c>
      <c r="W22" s="23">
        <v>100</v>
      </c>
      <c r="X22" s="60">
        <v>100</v>
      </c>
      <c r="Y22" s="24"/>
      <c r="Z22" s="43"/>
      <c r="AA22" s="43"/>
      <c r="AB22" s="43"/>
      <c r="AC22" s="43"/>
      <c r="AD22" s="43"/>
      <c r="AE22" s="43"/>
      <c r="AF22" s="43"/>
      <c r="AG22" s="43"/>
      <c r="AH22" s="43"/>
    </row>
    <row r="23" spans="1:34" ht="36.75" customHeight="1">
      <c r="A23" s="44">
        <v>2025</v>
      </c>
      <c r="B23" s="49" t="s">
        <v>104</v>
      </c>
      <c r="C23" s="44" t="s">
        <v>66</v>
      </c>
      <c r="D23" s="75">
        <f t="shared" si="0"/>
        <v>1</v>
      </c>
      <c r="E23" s="38" t="s">
        <v>260</v>
      </c>
      <c r="F23" s="38" t="s">
        <v>105</v>
      </c>
      <c r="G23" s="50">
        <v>2025003050005</v>
      </c>
      <c r="H23" s="38" t="s">
        <v>106</v>
      </c>
      <c r="I23" s="3">
        <v>13746524997</v>
      </c>
      <c r="J23" s="51">
        <v>12746524997</v>
      </c>
      <c r="K23" s="44" t="s">
        <v>29</v>
      </c>
      <c r="L23" s="52" t="s">
        <v>30</v>
      </c>
      <c r="M23" s="60" t="s">
        <v>46</v>
      </c>
      <c r="N23" s="25">
        <v>45811</v>
      </c>
      <c r="O23" s="69">
        <v>46294</v>
      </c>
      <c r="P23" s="24">
        <v>75.34</v>
      </c>
      <c r="Q23" s="24">
        <v>66.150000000000006</v>
      </c>
      <c r="R23" s="63">
        <v>80.459999999999994</v>
      </c>
      <c r="S23" s="63">
        <v>84.53</v>
      </c>
      <c r="T23" s="63">
        <v>86.13</v>
      </c>
      <c r="U23" s="63">
        <v>88.5</v>
      </c>
      <c r="V23" s="24" t="s">
        <v>107</v>
      </c>
      <c r="W23" s="24">
        <v>90</v>
      </c>
      <c r="X23" s="60">
        <v>90</v>
      </c>
      <c r="Y23" s="47" t="s">
        <v>108</v>
      </c>
      <c r="Z23" s="43"/>
      <c r="AA23" s="43"/>
      <c r="AB23" s="43"/>
      <c r="AC23" s="43"/>
      <c r="AD23" s="43"/>
      <c r="AE23" s="43"/>
      <c r="AF23" s="43"/>
      <c r="AG23" s="43"/>
      <c r="AH23" s="43"/>
    </row>
    <row r="24" spans="1:34" ht="36.75" customHeight="1">
      <c r="A24" s="44">
        <v>2025</v>
      </c>
      <c r="B24" s="49" t="s">
        <v>109</v>
      </c>
      <c r="C24" s="44" t="s">
        <v>110</v>
      </c>
      <c r="D24" s="74">
        <f t="shared" si="0"/>
        <v>2</v>
      </c>
      <c r="E24" s="38" t="s">
        <v>34</v>
      </c>
      <c r="F24" s="38" t="s">
        <v>27</v>
      </c>
      <c r="G24" s="40">
        <v>2025003050011</v>
      </c>
      <c r="H24" s="38" t="s">
        <v>111</v>
      </c>
      <c r="I24" s="3">
        <v>4237507648</v>
      </c>
      <c r="J24" s="51">
        <v>3390006119</v>
      </c>
      <c r="K24" s="2" t="s">
        <v>29</v>
      </c>
      <c r="L24" s="23" t="s">
        <v>30</v>
      </c>
      <c r="M24" s="61" t="s">
        <v>112</v>
      </c>
      <c r="N24" s="46">
        <v>45813</v>
      </c>
      <c r="O24" s="69">
        <v>46103</v>
      </c>
      <c r="P24" s="47">
        <v>99.95</v>
      </c>
      <c r="Q24" s="47">
        <v>99.92</v>
      </c>
      <c r="R24" s="63">
        <v>99.95</v>
      </c>
      <c r="S24" s="63">
        <v>100</v>
      </c>
      <c r="T24" s="63">
        <v>99.95</v>
      </c>
      <c r="U24" s="63">
        <v>100</v>
      </c>
      <c r="V24" s="47">
        <v>92</v>
      </c>
      <c r="W24" s="47">
        <v>50</v>
      </c>
      <c r="X24" s="60">
        <v>89</v>
      </c>
      <c r="Y24" s="47">
        <v>100</v>
      </c>
      <c r="Z24" s="43"/>
      <c r="AA24" s="43"/>
      <c r="AB24" s="43"/>
      <c r="AC24" s="43"/>
      <c r="AD24" s="43"/>
      <c r="AE24" s="43"/>
      <c r="AF24" s="43"/>
      <c r="AG24" s="43"/>
      <c r="AH24" s="43"/>
    </row>
    <row r="25" spans="1:34" ht="36.75" customHeight="1">
      <c r="A25" s="44">
        <v>2025</v>
      </c>
      <c r="B25" s="49" t="s">
        <v>113</v>
      </c>
      <c r="C25" s="44" t="s">
        <v>42</v>
      </c>
      <c r="D25" s="74">
        <f t="shared" si="0"/>
        <v>0.75</v>
      </c>
      <c r="E25" s="38" t="s">
        <v>261</v>
      </c>
      <c r="F25" s="38" t="s">
        <v>27</v>
      </c>
      <c r="G25" s="37">
        <v>2025003050014</v>
      </c>
      <c r="H25" s="38" t="s">
        <v>114</v>
      </c>
      <c r="I25" s="3">
        <v>1811206529</v>
      </c>
      <c r="J25" s="51">
        <v>1448965223</v>
      </c>
      <c r="K25" s="2" t="s">
        <v>29</v>
      </c>
      <c r="L25" s="23" t="s">
        <v>30</v>
      </c>
      <c r="M25" s="60" t="s">
        <v>31</v>
      </c>
      <c r="N25" s="46">
        <v>45825</v>
      </c>
      <c r="O25" s="67">
        <v>46112</v>
      </c>
      <c r="P25" s="47">
        <v>100</v>
      </c>
      <c r="Q25" s="47">
        <v>100</v>
      </c>
      <c r="R25" s="63">
        <v>100</v>
      </c>
      <c r="S25" s="66">
        <v>100</v>
      </c>
      <c r="T25" s="66"/>
      <c r="U25" s="66"/>
      <c r="V25" s="47">
        <v>50</v>
      </c>
      <c r="W25" s="47">
        <v>90</v>
      </c>
      <c r="X25" s="60" t="s">
        <v>40</v>
      </c>
      <c r="Y25" s="47">
        <v>100</v>
      </c>
      <c r="Z25" s="43"/>
      <c r="AA25" s="43"/>
      <c r="AB25" s="43"/>
      <c r="AC25" s="43"/>
      <c r="AD25" s="43"/>
      <c r="AE25" s="43"/>
      <c r="AF25" s="43"/>
      <c r="AG25" s="43"/>
      <c r="AH25" s="43"/>
    </row>
    <row r="26" spans="1:34" ht="36.75" customHeight="1">
      <c r="A26" s="44">
        <v>2025</v>
      </c>
      <c r="B26" s="49" t="s">
        <v>115</v>
      </c>
      <c r="C26" s="44" t="s">
        <v>25</v>
      </c>
      <c r="D26" s="74">
        <f t="shared" si="0"/>
        <v>2</v>
      </c>
      <c r="E26" s="38" t="s">
        <v>34</v>
      </c>
      <c r="F26" s="38" t="s">
        <v>27</v>
      </c>
      <c r="G26" s="40">
        <v>2025003050012</v>
      </c>
      <c r="H26" s="38" t="s">
        <v>116</v>
      </c>
      <c r="I26" s="3">
        <v>4812305821</v>
      </c>
      <c r="J26" s="51">
        <v>3849844657</v>
      </c>
      <c r="K26" s="2" t="s">
        <v>29</v>
      </c>
      <c r="L26" s="23" t="s">
        <v>30</v>
      </c>
      <c r="M26" s="60" t="s">
        <v>46</v>
      </c>
      <c r="N26" s="25">
        <v>45826</v>
      </c>
      <c r="O26" s="69">
        <v>46293</v>
      </c>
      <c r="P26" s="24">
        <v>0</v>
      </c>
      <c r="Q26" s="24">
        <v>56.54</v>
      </c>
      <c r="R26" s="63">
        <v>64.739999999999995</v>
      </c>
      <c r="S26" s="63">
        <v>22.45</v>
      </c>
      <c r="T26" s="63">
        <v>87.62</v>
      </c>
      <c r="U26" s="63">
        <v>22.45</v>
      </c>
      <c r="V26" s="24">
        <v>100</v>
      </c>
      <c r="W26" s="24">
        <v>100</v>
      </c>
      <c r="X26" s="60" t="s">
        <v>117</v>
      </c>
      <c r="Y26" s="24"/>
      <c r="Z26" s="43"/>
      <c r="AA26" s="43"/>
      <c r="AB26" s="43"/>
      <c r="AC26" s="43"/>
      <c r="AD26" s="43"/>
      <c r="AE26" s="43"/>
      <c r="AF26" s="43"/>
      <c r="AG26" s="43"/>
      <c r="AH26" s="43"/>
    </row>
    <row r="27" spans="1:34" ht="36.75" customHeight="1">
      <c r="A27" s="44">
        <v>2025</v>
      </c>
      <c r="B27" s="49" t="s">
        <v>118</v>
      </c>
      <c r="C27" s="44" t="s">
        <v>42</v>
      </c>
      <c r="D27" s="74">
        <f t="shared" si="0"/>
        <v>1.9</v>
      </c>
      <c r="E27" s="38" t="s">
        <v>262</v>
      </c>
      <c r="F27" s="38" t="s">
        <v>27</v>
      </c>
      <c r="G27" s="37">
        <v>2025003050015</v>
      </c>
      <c r="H27" s="38" t="s">
        <v>119</v>
      </c>
      <c r="I27" s="3">
        <v>4294044919</v>
      </c>
      <c r="J27" s="51">
        <v>3435235935.1999998</v>
      </c>
      <c r="K27" s="2" t="s">
        <v>29</v>
      </c>
      <c r="L27" s="23" t="s">
        <v>30</v>
      </c>
      <c r="M27" s="60" t="s">
        <v>31</v>
      </c>
      <c r="N27" s="46">
        <v>45824</v>
      </c>
      <c r="O27" s="67">
        <v>46012</v>
      </c>
      <c r="P27" s="47">
        <v>100</v>
      </c>
      <c r="Q27" s="47">
        <v>100</v>
      </c>
      <c r="R27" s="47">
        <v>100</v>
      </c>
      <c r="S27" s="47">
        <v>100</v>
      </c>
      <c r="T27" s="66"/>
      <c r="U27" s="66"/>
      <c r="V27" s="24">
        <v>100</v>
      </c>
      <c r="W27" s="24">
        <v>89</v>
      </c>
      <c r="X27" s="60" t="s">
        <v>31</v>
      </c>
      <c r="Y27" s="23">
        <v>100</v>
      </c>
      <c r="Z27" s="43"/>
      <c r="AA27" s="43"/>
      <c r="AB27" s="43"/>
      <c r="AC27" s="43"/>
      <c r="AD27" s="43"/>
      <c r="AE27" s="43"/>
      <c r="AF27" s="43"/>
      <c r="AG27" s="43"/>
      <c r="AH27" s="43"/>
    </row>
    <row r="28" spans="1:34" ht="36.75" customHeight="1">
      <c r="A28" s="44">
        <v>2025</v>
      </c>
      <c r="B28" s="49" t="s">
        <v>120</v>
      </c>
      <c r="C28" s="44" t="s">
        <v>121</v>
      </c>
      <c r="D28" s="74">
        <f t="shared" si="0"/>
        <v>1</v>
      </c>
      <c r="E28" s="38" t="s">
        <v>62</v>
      </c>
      <c r="F28" s="38" t="s">
        <v>27</v>
      </c>
      <c r="G28" s="50">
        <v>2025003050013</v>
      </c>
      <c r="H28" s="38" t="s">
        <v>122</v>
      </c>
      <c r="I28" s="3">
        <v>1999756329</v>
      </c>
      <c r="J28" s="45">
        <v>1599805063</v>
      </c>
      <c r="K28" s="44" t="s">
        <v>29</v>
      </c>
      <c r="L28" s="52" t="s">
        <v>30</v>
      </c>
      <c r="M28" s="60" t="s">
        <v>36</v>
      </c>
      <c r="N28" s="25">
        <v>45853</v>
      </c>
      <c r="O28" s="69">
        <v>46186</v>
      </c>
      <c r="P28" s="24">
        <v>100</v>
      </c>
      <c r="Q28" s="24">
        <v>76.47</v>
      </c>
      <c r="R28" s="63">
        <v>100</v>
      </c>
      <c r="S28" s="63">
        <v>80</v>
      </c>
      <c r="T28" s="63">
        <v>100</v>
      </c>
      <c r="U28" s="63">
        <v>80</v>
      </c>
      <c r="V28" s="24">
        <v>91</v>
      </c>
      <c r="W28" s="24">
        <v>58.7</v>
      </c>
      <c r="X28" s="60">
        <v>90</v>
      </c>
      <c r="Y28" s="47">
        <v>100</v>
      </c>
      <c r="Z28" s="43"/>
      <c r="AA28" s="43"/>
      <c r="AB28" s="43"/>
      <c r="AC28" s="43"/>
      <c r="AD28" s="43"/>
      <c r="AE28" s="43"/>
      <c r="AF28" s="43"/>
      <c r="AG28" s="43"/>
      <c r="AH28" s="43"/>
    </row>
    <row r="29" spans="1:34" ht="36.75" customHeight="1">
      <c r="A29" s="44">
        <v>2025</v>
      </c>
      <c r="B29" s="49" t="s">
        <v>123</v>
      </c>
      <c r="C29" s="44" t="s">
        <v>25</v>
      </c>
      <c r="D29" s="74">
        <f t="shared" si="0"/>
        <v>2</v>
      </c>
      <c r="E29" s="38" t="s">
        <v>34</v>
      </c>
      <c r="F29" s="38" t="s">
        <v>27</v>
      </c>
      <c r="G29" s="50">
        <v>2025003050022</v>
      </c>
      <c r="H29" s="38" t="s">
        <v>124</v>
      </c>
      <c r="I29" s="3">
        <v>4833319756</v>
      </c>
      <c r="J29" s="45">
        <v>3866655805</v>
      </c>
      <c r="K29" s="44" t="s">
        <v>29</v>
      </c>
      <c r="L29" s="52" t="s">
        <v>30</v>
      </c>
      <c r="M29" s="60" t="s">
        <v>46</v>
      </c>
      <c r="N29" s="25">
        <v>45874</v>
      </c>
      <c r="O29" s="69">
        <v>46295</v>
      </c>
      <c r="P29" s="47">
        <v>45.38</v>
      </c>
      <c r="Q29" s="47">
        <v>36.26</v>
      </c>
      <c r="R29" s="63">
        <v>45.38</v>
      </c>
      <c r="S29" s="63">
        <v>36.26</v>
      </c>
      <c r="T29" s="63">
        <v>63.55</v>
      </c>
      <c r="U29" s="63">
        <v>36.26</v>
      </c>
      <c r="V29" s="47">
        <v>100</v>
      </c>
      <c r="W29" s="47">
        <v>100</v>
      </c>
      <c r="X29" s="60" t="s">
        <v>125</v>
      </c>
      <c r="Y29" s="47"/>
      <c r="Z29" s="43"/>
      <c r="AA29" s="43"/>
      <c r="AB29" s="43"/>
      <c r="AC29" s="43"/>
      <c r="AD29" s="43"/>
      <c r="AE29" s="43"/>
      <c r="AF29" s="43"/>
      <c r="AG29" s="43"/>
      <c r="AH29" s="43"/>
    </row>
    <row r="30" spans="1:34" ht="36.75" customHeight="1">
      <c r="A30" s="44">
        <v>2025</v>
      </c>
      <c r="B30" s="49" t="s">
        <v>126</v>
      </c>
      <c r="C30" s="44" t="s">
        <v>42</v>
      </c>
      <c r="D30" s="75">
        <f t="shared" si="0"/>
        <v>1.95</v>
      </c>
      <c r="E30" s="38" t="s">
        <v>263</v>
      </c>
      <c r="F30" s="38" t="s">
        <v>127</v>
      </c>
      <c r="G30" s="50">
        <v>2025003050017</v>
      </c>
      <c r="H30" s="38" t="s">
        <v>128</v>
      </c>
      <c r="I30" s="3">
        <v>5922191430</v>
      </c>
      <c r="J30" s="45">
        <v>4922191430</v>
      </c>
      <c r="K30" s="44" t="s">
        <v>29</v>
      </c>
      <c r="L30" s="52" t="s">
        <v>30</v>
      </c>
      <c r="M30" s="60" t="s">
        <v>46</v>
      </c>
      <c r="N30" s="25">
        <v>45854</v>
      </c>
      <c r="O30" s="69">
        <v>46230</v>
      </c>
      <c r="P30" s="24">
        <v>97.87</v>
      </c>
      <c r="Q30" s="24">
        <v>90.17</v>
      </c>
      <c r="R30" s="63">
        <v>97.87</v>
      </c>
      <c r="S30" s="63">
        <v>90.17</v>
      </c>
      <c r="T30" s="63">
        <v>97.87</v>
      </c>
      <c r="U30" s="63">
        <v>90.17</v>
      </c>
      <c r="V30" s="24">
        <v>50</v>
      </c>
      <c r="W30" s="24">
        <v>10</v>
      </c>
      <c r="X30" s="60">
        <v>77</v>
      </c>
      <c r="Y30" s="47">
        <v>100</v>
      </c>
      <c r="Z30" s="43"/>
      <c r="AA30" s="43"/>
      <c r="AB30" s="43"/>
      <c r="AC30" s="43"/>
      <c r="AD30" s="43"/>
      <c r="AE30" s="43"/>
      <c r="AF30" s="43"/>
      <c r="AG30" s="43"/>
      <c r="AH30" s="43"/>
    </row>
    <row r="31" spans="1:34" ht="36.75" customHeight="1">
      <c r="A31" s="44">
        <v>2025</v>
      </c>
      <c r="B31" s="49" t="s">
        <v>129</v>
      </c>
      <c r="C31" s="44" t="s">
        <v>25</v>
      </c>
      <c r="D31" s="74">
        <f t="shared" si="0"/>
        <v>2</v>
      </c>
      <c r="E31" s="38" t="s">
        <v>34</v>
      </c>
      <c r="F31" s="38" t="s">
        <v>27</v>
      </c>
      <c r="G31" s="50">
        <v>2025003050020</v>
      </c>
      <c r="H31" s="38" t="s">
        <v>130</v>
      </c>
      <c r="I31" s="3">
        <v>4797586284</v>
      </c>
      <c r="J31" s="45">
        <v>3838069027</v>
      </c>
      <c r="K31" s="44" t="s">
        <v>29</v>
      </c>
      <c r="L31" s="52" t="s">
        <v>30</v>
      </c>
      <c r="M31" s="60" t="s">
        <v>46</v>
      </c>
      <c r="N31" s="25">
        <v>45874</v>
      </c>
      <c r="O31" s="69">
        <v>46287</v>
      </c>
      <c r="P31" s="47">
        <v>95.44</v>
      </c>
      <c r="Q31" s="47">
        <v>60.59</v>
      </c>
      <c r="R31" s="63">
        <v>95.93</v>
      </c>
      <c r="S31" s="63">
        <v>71.73</v>
      </c>
      <c r="T31" s="63">
        <v>96.3</v>
      </c>
      <c r="U31" s="63">
        <v>71.73</v>
      </c>
      <c r="V31" s="47">
        <v>100</v>
      </c>
      <c r="W31" s="47">
        <v>84.8</v>
      </c>
      <c r="X31" s="60">
        <v>100</v>
      </c>
      <c r="Y31" s="47"/>
      <c r="Z31" s="43"/>
      <c r="AA31" s="43"/>
      <c r="AB31" s="43"/>
      <c r="AC31" s="43"/>
      <c r="AD31" s="43"/>
      <c r="AE31" s="43"/>
      <c r="AF31" s="43"/>
      <c r="AG31" s="43"/>
      <c r="AH31" s="43"/>
    </row>
    <row r="32" spans="1:34" ht="36.75" customHeight="1">
      <c r="A32" s="44">
        <v>2025</v>
      </c>
      <c r="B32" s="49" t="s">
        <v>131</v>
      </c>
      <c r="C32" s="44" t="s">
        <v>132</v>
      </c>
      <c r="D32" s="74">
        <f t="shared" si="0"/>
        <v>1</v>
      </c>
      <c r="E32" s="38" t="s">
        <v>62</v>
      </c>
      <c r="F32" s="38" t="s">
        <v>27</v>
      </c>
      <c r="G32" s="50">
        <v>2025003050010</v>
      </c>
      <c r="H32" s="38" t="s">
        <v>133</v>
      </c>
      <c r="I32" s="3">
        <v>2479887333</v>
      </c>
      <c r="J32" s="45">
        <v>1983909866</v>
      </c>
      <c r="K32" s="2" t="s">
        <v>29</v>
      </c>
      <c r="L32" s="52" t="s">
        <v>30</v>
      </c>
      <c r="M32" s="60" t="s">
        <v>46</v>
      </c>
      <c r="N32" s="25">
        <v>45874</v>
      </c>
      <c r="O32" s="69">
        <v>46265</v>
      </c>
      <c r="P32" s="23">
        <v>37.270000000000003</v>
      </c>
      <c r="Q32" s="23">
        <v>41.96</v>
      </c>
      <c r="R32" s="63">
        <v>37.270000000000003</v>
      </c>
      <c r="S32" s="63">
        <v>66.47</v>
      </c>
      <c r="T32" s="63">
        <v>37.270000000000003</v>
      </c>
      <c r="U32" s="63">
        <v>66.47</v>
      </c>
      <c r="V32" s="24">
        <v>90</v>
      </c>
      <c r="W32" s="23">
        <v>35.6</v>
      </c>
      <c r="X32" s="60">
        <v>100</v>
      </c>
      <c r="Y32" s="47">
        <v>35</v>
      </c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4" ht="36.75" customHeight="1">
      <c r="A33" s="44">
        <v>2025</v>
      </c>
      <c r="B33" s="49" t="s">
        <v>134</v>
      </c>
      <c r="C33" s="44" t="s">
        <v>25</v>
      </c>
      <c r="D33" s="74">
        <f t="shared" si="0"/>
        <v>2</v>
      </c>
      <c r="E33" s="38" t="s">
        <v>34</v>
      </c>
      <c r="F33" s="38" t="s">
        <v>27</v>
      </c>
      <c r="G33" s="50">
        <v>2025003050021</v>
      </c>
      <c r="H33" s="38" t="s">
        <v>135</v>
      </c>
      <c r="I33" s="3">
        <v>4847192489</v>
      </c>
      <c r="J33" s="45">
        <v>3877753992</v>
      </c>
      <c r="K33" s="44" t="s">
        <v>29</v>
      </c>
      <c r="L33" s="52" t="s">
        <v>30</v>
      </c>
      <c r="M33" s="60" t="s">
        <v>46</v>
      </c>
      <c r="N33" s="25">
        <v>45909</v>
      </c>
      <c r="O33" s="69">
        <v>46181</v>
      </c>
      <c r="P33" s="47">
        <v>84</v>
      </c>
      <c r="Q33" s="47">
        <v>71</v>
      </c>
      <c r="R33" s="63">
        <v>85.28</v>
      </c>
      <c r="S33" s="63">
        <v>77.010000000000005</v>
      </c>
      <c r="T33" s="63">
        <v>85.8</v>
      </c>
      <c r="U33" s="63">
        <v>84.2</v>
      </c>
      <c r="V33" s="47">
        <v>100</v>
      </c>
      <c r="W33" s="47">
        <v>93.2</v>
      </c>
      <c r="X33" s="60">
        <v>100</v>
      </c>
      <c r="Y33" s="47">
        <v>100</v>
      </c>
      <c r="Z33" s="43"/>
      <c r="AA33" s="43"/>
      <c r="AB33" s="43"/>
      <c r="AC33" s="43"/>
      <c r="AD33" s="43"/>
      <c r="AE33" s="43"/>
      <c r="AF33" s="43"/>
      <c r="AG33" s="43"/>
      <c r="AH33" s="43"/>
    </row>
    <row r="34" spans="1:34" ht="36.75" customHeight="1">
      <c r="A34" s="44">
        <v>2025</v>
      </c>
      <c r="B34" s="49" t="s">
        <v>49</v>
      </c>
      <c r="C34" s="44" t="s">
        <v>42</v>
      </c>
      <c r="D34" s="75">
        <f t="shared" si="0"/>
        <v>1</v>
      </c>
      <c r="E34" s="38" t="s">
        <v>136</v>
      </c>
      <c r="F34" s="38" t="s">
        <v>105</v>
      </c>
      <c r="G34" s="50">
        <v>2025003050018</v>
      </c>
      <c r="H34" s="38" t="s">
        <v>137</v>
      </c>
      <c r="I34" s="3">
        <v>2786298806</v>
      </c>
      <c r="J34" s="45">
        <v>2786298806</v>
      </c>
      <c r="K34" s="44" t="s">
        <v>29</v>
      </c>
      <c r="L34" s="52" t="s">
        <v>97</v>
      </c>
      <c r="M34" s="60" t="s">
        <v>138</v>
      </c>
      <c r="N34" s="25">
        <v>45903</v>
      </c>
      <c r="O34" s="69">
        <v>46326</v>
      </c>
      <c r="P34" s="63" t="s">
        <v>40</v>
      </c>
      <c r="Q34" s="63" t="s">
        <v>40</v>
      </c>
      <c r="R34" s="63" t="s">
        <v>40</v>
      </c>
      <c r="S34" s="63" t="s">
        <v>40</v>
      </c>
      <c r="T34" s="63" t="s">
        <v>40</v>
      </c>
      <c r="U34" s="63" t="s">
        <v>40</v>
      </c>
      <c r="V34" s="47">
        <v>100</v>
      </c>
      <c r="W34" s="47">
        <v>0</v>
      </c>
      <c r="X34" s="60" t="s">
        <v>40</v>
      </c>
      <c r="Y34" s="47"/>
      <c r="Z34" s="43"/>
      <c r="AA34" s="43"/>
      <c r="AB34" s="43"/>
      <c r="AC34" s="43"/>
      <c r="AD34" s="43"/>
      <c r="AE34" s="43"/>
      <c r="AF34" s="43"/>
      <c r="AG34" s="43"/>
      <c r="AH34" s="43"/>
    </row>
    <row r="35" spans="1:34" s="9" customFormat="1" ht="36.75" customHeight="1">
      <c r="A35" s="44">
        <v>2025</v>
      </c>
      <c r="B35" s="49" t="s">
        <v>139</v>
      </c>
      <c r="C35" s="44" t="s">
        <v>58</v>
      </c>
      <c r="D35" s="74">
        <f t="shared" si="0"/>
        <v>2</v>
      </c>
      <c r="E35" s="38" t="s">
        <v>34</v>
      </c>
      <c r="F35" s="38" t="s">
        <v>27</v>
      </c>
      <c r="G35" s="50">
        <v>2025003050023</v>
      </c>
      <c r="H35" s="38" t="s">
        <v>140</v>
      </c>
      <c r="I35" s="3">
        <v>4842926067</v>
      </c>
      <c r="J35" s="45">
        <v>4842926067</v>
      </c>
      <c r="K35" s="44" t="s">
        <v>29</v>
      </c>
      <c r="L35" s="52" t="s">
        <v>30</v>
      </c>
      <c r="M35" s="60" t="s">
        <v>36</v>
      </c>
      <c r="N35" s="25">
        <v>45944</v>
      </c>
      <c r="O35" s="69">
        <v>46256</v>
      </c>
      <c r="P35" s="47">
        <v>93.11</v>
      </c>
      <c r="Q35" s="47">
        <v>75.33</v>
      </c>
      <c r="R35" s="63">
        <v>98.97</v>
      </c>
      <c r="S35" s="63">
        <v>98.25</v>
      </c>
      <c r="T35" s="63">
        <v>99.98</v>
      </c>
      <c r="U35" s="63">
        <v>98.25</v>
      </c>
      <c r="V35" s="47">
        <v>100</v>
      </c>
      <c r="W35" s="47">
        <v>100</v>
      </c>
      <c r="X35" s="60">
        <v>48.6</v>
      </c>
      <c r="Y35" s="47"/>
      <c r="Z35" s="43"/>
      <c r="AA35" s="76"/>
      <c r="AB35" s="76"/>
      <c r="AC35" s="76"/>
      <c r="AD35" s="76"/>
      <c r="AE35" s="76"/>
      <c r="AF35" s="76"/>
      <c r="AG35" s="76"/>
      <c r="AH35" s="76"/>
    </row>
    <row r="36" spans="1:34" ht="36.75" customHeight="1">
      <c r="A36" s="44">
        <v>2025</v>
      </c>
      <c r="B36" s="49" t="s">
        <v>141</v>
      </c>
      <c r="C36" s="44" t="s">
        <v>33</v>
      </c>
      <c r="D36" s="74">
        <f t="shared" si="0"/>
        <v>2</v>
      </c>
      <c r="E36" s="38" t="s">
        <v>34</v>
      </c>
      <c r="F36" s="38" t="s">
        <v>27</v>
      </c>
      <c r="G36" s="50">
        <v>2025003050028</v>
      </c>
      <c r="H36" s="38" t="s">
        <v>142</v>
      </c>
      <c r="I36" s="3">
        <v>4663630855</v>
      </c>
      <c r="J36" s="45">
        <v>3730904684</v>
      </c>
      <c r="K36" s="44" t="s">
        <v>29</v>
      </c>
      <c r="L36" s="52" t="s">
        <v>30</v>
      </c>
      <c r="M36" s="60" t="s">
        <v>36</v>
      </c>
      <c r="N36" s="25">
        <v>45936</v>
      </c>
      <c r="O36" s="69">
        <v>46249</v>
      </c>
      <c r="P36" s="47">
        <v>78.69</v>
      </c>
      <c r="Q36" s="47">
        <v>69.48</v>
      </c>
      <c r="R36" s="63">
        <v>95</v>
      </c>
      <c r="S36" s="63">
        <v>83.9</v>
      </c>
      <c r="T36" s="63">
        <v>100</v>
      </c>
      <c r="U36" s="63">
        <v>83.9</v>
      </c>
      <c r="V36" s="47">
        <v>100</v>
      </c>
      <c r="W36" s="47">
        <v>100</v>
      </c>
      <c r="X36" s="60">
        <v>83.9</v>
      </c>
      <c r="Y36" s="47"/>
      <c r="Z36" s="43"/>
      <c r="AA36" s="43"/>
      <c r="AB36" s="43"/>
      <c r="AC36" s="43"/>
      <c r="AD36" s="43"/>
      <c r="AE36" s="43"/>
      <c r="AF36" s="43"/>
      <c r="AG36" s="43"/>
      <c r="AH36" s="43"/>
    </row>
    <row r="37" spans="1:34" ht="36.75" customHeight="1">
      <c r="A37" s="44">
        <v>2025</v>
      </c>
      <c r="B37" s="49" t="s">
        <v>143</v>
      </c>
      <c r="C37" s="44" t="s">
        <v>42</v>
      </c>
      <c r="D37" s="75">
        <f t="shared" si="0"/>
        <v>4</v>
      </c>
      <c r="E37" s="38" t="s">
        <v>144</v>
      </c>
      <c r="F37" s="38" t="s">
        <v>145</v>
      </c>
      <c r="G37" s="50">
        <v>2025003050024</v>
      </c>
      <c r="H37" s="38" t="s">
        <v>146</v>
      </c>
      <c r="I37" s="3">
        <v>14688946853</v>
      </c>
      <c r="J37" s="45">
        <v>14688946853</v>
      </c>
      <c r="K37" s="44" t="s">
        <v>29</v>
      </c>
      <c r="L37" s="52" t="s">
        <v>97</v>
      </c>
      <c r="M37" s="60" t="s">
        <v>46</v>
      </c>
      <c r="N37" s="25">
        <v>45938</v>
      </c>
      <c r="O37" s="69">
        <v>46598</v>
      </c>
      <c r="P37" s="47">
        <v>0</v>
      </c>
      <c r="Q37" s="47">
        <v>0</v>
      </c>
      <c r="R37" s="63">
        <v>0.68</v>
      </c>
      <c r="S37" s="63">
        <v>0</v>
      </c>
      <c r="T37" s="63">
        <v>2.2200000000000002</v>
      </c>
      <c r="U37" s="63">
        <v>0.68</v>
      </c>
      <c r="V37" s="47">
        <v>100</v>
      </c>
      <c r="W37" s="47">
        <v>100</v>
      </c>
      <c r="X37" s="60">
        <v>0</v>
      </c>
      <c r="Y37" s="47"/>
      <c r="Z37" s="43"/>
      <c r="AA37" s="43"/>
      <c r="AB37" s="43"/>
      <c r="AC37" s="43"/>
      <c r="AD37" s="43"/>
      <c r="AE37" s="43"/>
      <c r="AF37" s="43"/>
      <c r="AG37" s="43"/>
      <c r="AH37" s="43"/>
    </row>
    <row r="38" spans="1:34" s="15" customFormat="1" ht="36.75" customHeight="1">
      <c r="A38" s="44">
        <v>2025</v>
      </c>
      <c r="B38" s="49" t="s">
        <v>92</v>
      </c>
      <c r="C38" s="44" t="s">
        <v>93</v>
      </c>
      <c r="D38" s="75">
        <f t="shared" si="0"/>
        <v>1</v>
      </c>
      <c r="E38" s="38" t="s">
        <v>147</v>
      </c>
      <c r="F38" s="38" t="s">
        <v>148</v>
      </c>
      <c r="G38" s="50">
        <v>2025003050025</v>
      </c>
      <c r="H38" s="38" t="s">
        <v>149</v>
      </c>
      <c r="I38" s="3">
        <v>5913699663</v>
      </c>
      <c r="J38" s="45">
        <v>5913699663</v>
      </c>
      <c r="K38" s="44" t="s">
        <v>150</v>
      </c>
      <c r="L38" s="52" t="s">
        <v>97</v>
      </c>
      <c r="M38" s="60" t="s">
        <v>46</v>
      </c>
      <c r="N38" s="25">
        <v>45915</v>
      </c>
      <c r="O38" s="69">
        <v>46278</v>
      </c>
      <c r="P38" s="47">
        <v>82.86</v>
      </c>
      <c r="Q38" s="47">
        <v>62.88</v>
      </c>
      <c r="R38" s="63">
        <v>82.86</v>
      </c>
      <c r="S38" s="66">
        <v>62.88</v>
      </c>
      <c r="T38" s="66">
        <v>96.46</v>
      </c>
      <c r="U38" s="66">
        <v>83.3</v>
      </c>
      <c r="V38" s="47">
        <v>100</v>
      </c>
      <c r="W38" s="47">
        <v>100</v>
      </c>
      <c r="X38" s="60">
        <v>100</v>
      </c>
      <c r="Y38" s="47"/>
      <c r="Z38" s="43"/>
      <c r="AA38" s="43"/>
      <c r="AB38" s="43"/>
      <c r="AC38" s="43"/>
      <c r="AD38" s="43"/>
      <c r="AE38" s="43"/>
      <c r="AF38" s="43"/>
      <c r="AG38" s="43"/>
      <c r="AH38" s="43"/>
    </row>
    <row r="39" spans="1:34" ht="36.75" customHeight="1">
      <c r="A39" s="44">
        <v>2025</v>
      </c>
      <c r="B39" s="49" t="s">
        <v>151</v>
      </c>
      <c r="C39" s="44" t="s">
        <v>25</v>
      </c>
      <c r="D39" s="74">
        <v>0</v>
      </c>
      <c r="E39" s="38" t="s">
        <v>264</v>
      </c>
      <c r="F39" s="38" t="s">
        <v>27</v>
      </c>
      <c r="G39" s="50">
        <v>2025003050035</v>
      </c>
      <c r="H39" s="38" t="s">
        <v>152</v>
      </c>
      <c r="I39" s="3">
        <v>5248430707.1999998</v>
      </c>
      <c r="J39" s="51">
        <v>4198744565.5999999</v>
      </c>
      <c r="K39" s="44" t="s">
        <v>29</v>
      </c>
      <c r="L39" s="52" t="s">
        <v>30</v>
      </c>
      <c r="M39" s="60" t="s">
        <v>153</v>
      </c>
      <c r="N39" s="25">
        <v>45967</v>
      </c>
      <c r="O39" s="68" t="s">
        <v>75</v>
      </c>
      <c r="P39" s="47">
        <v>0</v>
      </c>
      <c r="Q39" s="47">
        <v>0</v>
      </c>
      <c r="R39" s="63">
        <v>0</v>
      </c>
      <c r="S39" s="66">
        <v>0</v>
      </c>
      <c r="T39" s="66">
        <v>0</v>
      </c>
      <c r="U39" s="66">
        <v>0</v>
      </c>
      <c r="V39" s="47">
        <v>100</v>
      </c>
      <c r="W39" s="47">
        <v>0</v>
      </c>
      <c r="X39" s="60">
        <v>0</v>
      </c>
      <c r="Y39" s="47" t="s">
        <v>154</v>
      </c>
      <c r="Z39" s="43"/>
      <c r="AA39" s="43"/>
      <c r="AB39" s="43"/>
      <c r="AC39" s="43"/>
      <c r="AD39" s="43"/>
      <c r="AE39" s="43"/>
      <c r="AF39" s="43"/>
      <c r="AG39" s="43"/>
      <c r="AH39" s="43"/>
    </row>
    <row r="40" spans="1:34" ht="36.75" customHeight="1">
      <c r="A40" s="44">
        <v>2025</v>
      </c>
      <c r="B40" s="49" t="s">
        <v>155</v>
      </c>
      <c r="C40" s="44" t="s">
        <v>25</v>
      </c>
      <c r="D40" s="74">
        <f t="shared" si="0"/>
        <v>1.63</v>
      </c>
      <c r="E40" s="38" t="s">
        <v>265</v>
      </c>
      <c r="F40" s="38" t="s">
        <v>27</v>
      </c>
      <c r="G40" s="50">
        <v>2025003050026</v>
      </c>
      <c r="H40" s="38" t="s">
        <v>156</v>
      </c>
      <c r="I40" s="3">
        <v>3715229969</v>
      </c>
      <c r="J40" s="4">
        <v>2972183975</v>
      </c>
      <c r="K40" s="44" t="s">
        <v>29</v>
      </c>
      <c r="L40" s="52" t="s">
        <v>30</v>
      </c>
      <c r="M40" s="60" t="s">
        <v>46</v>
      </c>
      <c r="N40" s="25">
        <v>45968</v>
      </c>
      <c r="O40" s="69">
        <v>46252</v>
      </c>
      <c r="P40" s="47">
        <v>69.27</v>
      </c>
      <c r="Q40" s="47">
        <v>40.130000000000003</v>
      </c>
      <c r="R40" s="63">
        <v>69.27</v>
      </c>
      <c r="S40" s="66">
        <v>40.130000000000003</v>
      </c>
      <c r="T40" s="66">
        <v>77.58</v>
      </c>
      <c r="U40" s="66">
        <v>41.73</v>
      </c>
      <c r="V40" s="47">
        <v>100</v>
      </c>
      <c r="W40" s="47">
        <v>100</v>
      </c>
      <c r="X40" s="60">
        <v>100</v>
      </c>
      <c r="Y40" s="47"/>
      <c r="Z40" s="43"/>
      <c r="AA40" s="43"/>
      <c r="AB40" s="43"/>
      <c r="AC40" s="43"/>
      <c r="AD40" s="43"/>
      <c r="AE40" s="43"/>
      <c r="AF40" s="43"/>
      <c r="AG40" s="43"/>
      <c r="AH40" s="43"/>
    </row>
    <row r="41" spans="1:34" ht="36.75" customHeight="1">
      <c r="A41" s="44">
        <v>2025</v>
      </c>
      <c r="B41" s="49" t="s">
        <v>90</v>
      </c>
      <c r="C41" s="44" t="s">
        <v>25</v>
      </c>
      <c r="D41" s="75">
        <f t="shared" si="0"/>
        <v>2</v>
      </c>
      <c r="E41" s="38" t="s">
        <v>157</v>
      </c>
      <c r="F41" s="38" t="s">
        <v>102</v>
      </c>
      <c r="G41" s="50">
        <v>2025003050034</v>
      </c>
      <c r="H41" s="38" t="s">
        <v>158</v>
      </c>
      <c r="I41" s="3">
        <v>4782821867</v>
      </c>
      <c r="J41" s="51">
        <v>4682821867</v>
      </c>
      <c r="K41" s="44" t="s">
        <v>29</v>
      </c>
      <c r="L41" s="52" t="s">
        <v>30</v>
      </c>
      <c r="M41" s="60" t="s">
        <v>46</v>
      </c>
      <c r="N41" s="25">
        <v>45973</v>
      </c>
      <c r="O41" s="69">
        <v>46342</v>
      </c>
      <c r="P41" s="47">
        <v>60.71</v>
      </c>
      <c r="Q41" s="47">
        <v>84.45</v>
      </c>
      <c r="R41" s="63">
        <v>60.71</v>
      </c>
      <c r="S41" s="66">
        <v>84.45</v>
      </c>
      <c r="T41" s="66">
        <v>99.55</v>
      </c>
      <c r="U41" s="66">
        <v>100</v>
      </c>
      <c r="V41" s="47">
        <v>100</v>
      </c>
      <c r="W41" s="47">
        <v>0</v>
      </c>
      <c r="X41" s="60">
        <v>52</v>
      </c>
      <c r="Y41" s="47"/>
      <c r="Z41" s="43"/>
      <c r="AA41" s="43"/>
      <c r="AB41" s="43"/>
      <c r="AC41" s="43"/>
      <c r="AD41" s="43"/>
      <c r="AE41" s="43"/>
      <c r="AF41" s="43"/>
      <c r="AG41" s="43"/>
      <c r="AH41" s="43"/>
    </row>
    <row r="42" spans="1:34" ht="36.75" customHeight="1">
      <c r="A42" s="44">
        <v>2025</v>
      </c>
      <c r="B42" s="49" t="s">
        <v>159</v>
      </c>
      <c r="C42" s="44" t="s">
        <v>33</v>
      </c>
      <c r="D42" s="74">
        <f t="shared" si="0"/>
        <v>1</v>
      </c>
      <c r="E42" s="38" t="s">
        <v>62</v>
      </c>
      <c r="F42" s="38" t="s">
        <v>27</v>
      </c>
      <c r="G42" s="50">
        <v>2025003050031</v>
      </c>
      <c r="H42" s="38" t="s">
        <v>160</v>
      </c>
      <c r="I42" s="3">
        <v>2267187134</v>
      </c>
      <c r="J42" s="3">
        <v>1500000000</v>
      </c>
      <c r="K42" s="44" t="s">
        <v>29</v>
      </c>
      <c r="L42" s="52" t="s">
        <v>30</v>
      </c>
      <c r="M42" s="62" t="s">
        <v>112</v>
      </c>
      <c r="N42" s="46">
        <v>45971</v>
      </c>
      <c r="O42" s="69">
        <v>46141</v>
      </c>
      <c r="P42" s="47">
        <v>100</v>
      </c>
      <c r="Q42" s="47">
        <v>96.43</v>
      </c>
      <c r="R42" s="63">
        <v>100</v>
      </c>
      <c r="S42" s="66">
        <v>100</v>
      </c>
      <c r="T42" s="66">
        <v>100</v>
      </c>
      <c r="U42" s="66">
        <v>100</v>
      </c>
      <c r="V42" s="47">
        <v>100</v>
      </c>
      <c r="W42" s="47">
        <v>96</v>
      </c>
      <c r="X42" s="60">
        <v>89</v>
      </c>
      <c r="Y42" s="47">
        <v>100</v>
      </c>
      <c r="Z42" s="43"/>
      <c r="AA42" s="43"/>
      <c r="AB42" s="43"/>
      <c r="AC42" s="43"/>
      <c r="AD42" s="43"/>
      <c r="AE42" s="43"/>
      <c r="AF42" s="43"/>
      <c r="AG42" s="43"/>
      <c r="AH42" s="43"/>
    </row>
    <row r="43" spans="1:34" s="15" customFormat="1" ht="36.75" customHeight="1">
      <c r="A43" s="44">
        <v>2025</v>
      </c>
      <c r="B43" s="18" t="s">
        <v>161</v>
      </c>
      <c r="C43" s="5" t="s">
        <v>66</v>
      </c>
      <c r="D43" s="74">
        <f t="shared" si="0"/>
        <v>1</v>
      </c>
      <c r="E43" s="38" t="s">
        <v>62</v>
      </c>
      <c r="F43" s="38" t="s">
        <v>27</v>
      </c>
      <c r="G43" s="50">
        <v>2025003050032</v>
      </c>
      <c r="H43" s="38" t="s">
        <v>162</v>
      </c>
      <c r="I43" s="3">
        <v>2068919343</v>
      </c>
      <c r="J43" s="4">
        <v>1654822441</v>
      </c>
      <c r="K43" s="44" t="s">
        <v>150</v>
      </c>
      <c r="L43" s="52" t="s">
        <v>30</v>
      </c>
      <c r="M43" s="63" t="s">
        <v>46</v>
      </c>
      <c r="N43" s="25">
        <v>46015</v>
      </c>
      <c r="O43" s="69">
        <v>46381</v>
      </c>
      <c r="P43" s="47">
        <v>45.41</v>
      </c>
      <c r="Q43" s="47">
        <v>45</v>
      </c>
      <c r="R43" s="63">
        <v>56.27</v>
      </c>
      <c r="S43" s="66">
        <v>68.52</v>
      </c>
      <c r="T43" s="66">
        <v>77.989999999999995</v>
      </c>
      <c r="U43" s="66">
        <v>68.52</v>
      </c>
      <c r="V43" s="47" t="s">
        <v>40</v>
      </c>
      <c r="W43" s="47">
        <v>100</v>
      </c>
      <c r="X43" s="60">
        <v>100</v>
      </c>
      <c r="Y43" s="47"/>
      <c r="Z43" s="43"/>
      <c r="AA43" s="43"/>
      <c r="AB43" s="43"/>
      <c r="AC43" s="43"/>
      <c r="AD43" s="43"/>
      <c r="AE43" s="43"/>
      <c r="AF43" s="43"/>
      <c r="AG43" s="43"/>
      <c r="AH43" s="43"/>
    </row>
    <row r="44" spans="1:34" s="15" customFormat="1" ht="36.75" customHeight="1">
      <c r="A44" s="44">
        <v>2025</v>
      </c>
      <c r="B44" s="49" t="s">
        <v>163</v>
      </c>
      <c r="C44" s="44" t="s">
        <v>58</v>
      </c>
      <c r="D44" s="74">
        <f t="shared" si="0"/>
        <v>1</v>
      </c>
      <c r="E44" s="38" t="s">
        <v>62</v>
      </c>
      <c r="F44" s="38" t="s">
        <v>27</v>
      </c>
      <c r="G44" s="50">
        <v>2025003050038</v>
      </c>
      <c r="H44" s="38" t="s">
        <v>164</v>
      </c>
      <c r="I44" s="3">
        <v>2138705796</v>
      </c>
      <c r="J44" s="45">
        <v>1500000000</v>
      </c>
      <c r="K44" s="44" t="s">
        <v>150</v>
      </c>
      <c r="L44" s="52" t="s">
        <v>30</v>
      </c>
      <c r="M44" s="63" t="s">
        <v>46</v>
      </c>
      <c r="N44" s="25">
        <v>46001</v>
      </c>
      <c r="O44" s="69">
        <v>46341</v>
      </c>
      <c r="P44" s="47">
        <v>23.44</v>
      </c>
      <c r="Q44" s="47">
        <v>45.52</v>
      </c>
      <c r="R44" s="63">
        <v>23.44</v>
      </c>
      <c r="S44" s="66">
        <v>45.52</v>
      </c>
      <c r="T44" s="66">
        <v>23.44</v>
      </c>
      <c r="U44" s="66">
        <v>45.52</v>
      </c>
      <c r="V44" s="47">
        <v>100</v>
      </c>
      <c r="W44" s="47">
        <v>0</v>
      </c>
      <c r="X44" s="60">
        <v>100</v>
      </c>
      <c r="Y44" s="47">
        <v>14</v>
      </c>
      <c r="Z44" s="43"/>
      <c r="AA44" s="43"/>
      <c r="AB44" s="43"/>
      <c r="AC44" s="43"/>
      <c r="AD44" s="43"/>
      <c r="AE44" s="43"/>
      <c r="AF44" s="43"/>
      <c r="AG44" s="43"/>
      <c r="AH44" s="43"/>
    </row>
    <row r="45" spans="1:34" ht="36.75" customHeight="1">
      <c r="A45" s="44">
        <v>2025</v>
      </c>
      <c r="B45" s="49" t="s">
        <v>165</v>
      </c>
      <c r="C45" s="44" t="s">
        <v>25</v>
      </c>
      <c r="D45" s="74">
        <f t="shared" si="0"/>
        <v>2</v>
      </c>
      <c r="E45" s="38" t="s">
        <v>34</v>
      </c>
      <c r="F45" s="38" t="s">
        <v>27</v>
      </c>
      <c r="G45" s="50">
        <v>2025003050046</v>
      </c>
      <c r="H45" s="38" t="s">
        <v>166</v>
      </c>
      <c r="I45" s="3">
        <v>4319392762</v>
      </c>
      <c r="J45" s="3">
        <v>3414414209</v>
      </c>
      <c r="K45" s="44" t="s">
        <v>29</v>
      </c>
      <c r="L45" s="52" t="s">
        <v>30</v>
      </c>
      <c r="M45" s="63" t="s">
        <v>46</v>
      </c>
      <c r="N45" s="25">
        <v>46014</v>
      </c>
      <c r="O45" s="69">
        <v>46312</v>
      </c>
      <c r="P45" s="47">
        <v>26.14</v>
      </c>
      <c r="Q45" s="47">
        <v>27.27</v>
      </c>
      <c r="R45" s="63">
        <v>46.12</v>
      </c>
      <c r="S45" s="66">
        <v>41.92</v>
      </c>
      <c r="T45" s="66">
        <v>49.33</v>
      </c>
      <c r="U45" s="66">
        <v>46.12</v>
      </c>
      <c r="V45" s="47" t="s">
        <v>40</v>
      </c>
      <c r="W45" s="47">
        <v>100</v>
      </c>
      <c r="X45" s="60" t="s">
        <v>167</v>
      </c>
      <c r="Y45" s="52"/>
      <c r="Z45" s="43"/>
      <c r="AA45" s="43"/>
      <c r="AB45" s="43"/>
      <c r="AC45" s="43"/>
      <c r="AD45" s="43"/>
      <c r="AE45" s="43"/>
      <c r="AF45" s="43"/>
      <c r="AG45" s="43"/>
      <c r="AH45" s="43"/>
    </row>
    <row r="46" spans="1:34" s="15" customFormat="1" ht="36.75" customHeight="1">
      <c r="A46" s="44">
        <v>2025</v>
      </c>
      <c r="B46" s="49" t="s">
        <v>168</v>
      </c>
      <c r="C46" s="44" t="s">
        <v>58</v>
      </c>
      <c r="D46" s="74">
        <f t="shared" si="0"/>
        <v>1.5</v>
      </c>
      <c r="E46" s="38" t="s">
        <v>256</v>
      </c>
      <c r="F46" s="38" t="s">
        <v>27</v>
      </c>
      <c r="G46" s="50">
        <v>2025003050043</v>
      </c>
      <c r="H46" s="38" t="s">
        <v>169</v>
      </c>
      <c r="I46" s="3">
        <v>2387040561</v>
      </c>
      <c r="J46" s="45">
        <v>1500000000</v>
      </c>
      <c r="K46" s="44" t="s">
        <v>150</v>
      </c>
      <c r="L46" s="52" t="s">
        <v>30</v>
      </c>
      <c r="M46" s="63" t="s">
        <v>46</v>
      </c>
      <c r="N46" s="25">
        <v>46011</v>
      </c>
      <c r="O46" s="69">
        <v>46293</v>
      </c>
      <c r="P46" s="47">
        <v>31.59</v>
      </c>
      <c r="Q46" s="47">
        <v>45.88</v>
      </c>
      <c r="R46" s="63">
        <v>45.49</v>
      </c>
      <c r="S46" s="66">
        <v>45.88</v>
      </c>
      <c r="T46" s="66">
        <v>58.4</v>
      </c>
      <c r="U46" s="66">
        <v>73.709999999999994</v>
      </c>
      <c r="V46" s="47" t="s">
        <v>40</v>
      </c>
      <c r="W46" s="47">
        <v>100</v>
      </c>
      <c r="X46" s="60">
        <v>60</v>
      </c>
      <c r="Y46" s="47"/>
      <c r="Z46" s="43"/>
      <c r="AA46" s="43"/>
      <c r="AB46" s="43"/>
      <c r="AC46" s="43"/>
      <c r="AD46" s="43"/>
      <c r="AE46" s="43"/>
      <c r="AF46" s="43"/>
      <c r="AG46" s="43"/>
      <c r="AH46" s="43"/>
    </row>
    <row r="47" spans="1:34" ht="36.75" customHeight="1">
      <c r="A47" s="44">
        <v>2025</v>
      </c>
      <c r="B47" s="18" t="s">
        <v>87</v>
      </c>
      <c r="C47" s="5" t="s">
        <v>58</v>
      </c>
      <c r="D47" s="75">
        <f t="shared" si="0"/>
        <v>9.1999999999999993</v>
      </c>
      <c r="E47" s="38" t="s">
        <v>266</v>
      </c>
      <c r="F47" s="38" t="s">
        <v>102</v>
      </c>
      <c r="G47" s="50">
        <v>2025003050027</v>
      </c>
      <c r="H47" s="38" t="s">
        <v>170</v>
      </c>
      <c r="I47" s="3">
        <v>27387320782</v>
      </c>
      <c r="J47" s="4">
        <v>27387320782</v>
      </c>
      <c r="K47" s="44" t="s">
        <v>29</v>
      </c>
      <c r="L47" s="52" t="s">
        <v>97</v>
      </c>
      <c r="M47" s="63" t="s">
        <v>46</v>
      </c>
      <c r="N47" s="25">
        <v>46013</v>
      </c>
      <c r="O47" s="69">
        <v>46843</v>
      </c>
      <c r="P47" s="47">
        <v>0</v>
      </c>
      <c r="Q47" s="47">
        <v>0</v>
      </c>
      <c r="R47" s="63">
        <v>1.02</v>
      </c>
      <c r="S47" s="66">
        <v>0</v>
      </c>
      <c r="T47" s="66">
        <v>1.92</v>
      </c>
      <c r="U47" s="66">
        <v>0.5</v>
      </c>
      <c r="V47" s="47">
        <v>100</v>
      </c>
      <c r="W47" s="47">
        <v>89</v>
      </c>
      <c r="X47" s="60" t="s">
        <v>171</v>
      </c>
      <c r="Y47" s="47"/>
      <c r="Z47" s="43"/>
      <c r="AA47" s="43"/>
      <c r="AB47" s="43"/>
      <c r="AC47" s="43"/>
      <c r="AD47" s="43"/>
      <c r="AE47" s="43"/>
      <c r="AF47" s="43"/>
      <c r="AG47" s="43"/>
      <c r="AH47" s="43"/>
    </row>
    <row r="48" spans="1:34" s="15" customFormat="1" ht="36.75" customHeight="1">
      <c r="A48" s="44">
        <v>2025</v>
      </c>
      <c r="B48" s="49" t="s">
        <v>172</v>
      </c>
      <c r="C48" s="44" t="s">
        <v>42</v>
      </c>
      <c r="D48" s="74">
        <f t="shared" si="0"/>
        <v>1</v>
      </c>
      <c r="E48" s="38" t="s">
        <v>62</v>
      </c>
      <c r="F48" s="38" t="s">
        <v>27</v>
      </c>
      <c r="G48" s="50">
        <v>2025003050053</v>
      </c>
      <c r="H48" s="38" t="s">
        <v>173</v>
      </c>
      <c r="I48" s="3">
        <v>2149409352</v>
      </c>
      <c r="J48" s="45">
        <v>1500000000</v>
      </c>
      <c r="K48" s="44" t="s">
        <v>150</v>
      </c>
      <c r="L48" s="52" t="s">
        <v>30</v>
      </c>
      <c r="M48" s="60" t="s">
        <v>36</v>
      </c>
      <c r="N48" s="25">
        <v>46014</v>
      </c>
      <c r="O48" s="69">
        <v>46205</v>
      </c>
      <c r="P48" s="47">
        <v>97.2</v>
      </c>
      <c r="Q48" s="47">
        <v>94.43</v>
      </c>
      <c r="R48" s="63">
        <v>97.22</v>
      </c>
      <c r="S48" s="66">
        <v>96.27</v>
      </c>
      <c r="T48" s="66">
        <v>97.22</v>
      </c>
      <c r="U48" s="66">
        <v>99.85</v>
      </c>
      <c r="V48" s="47" t="s">
        <v>40</v>
      </c>
      <c r="W48" s="47">
        <v>40</v>
      </c>
      <c r="X48" s="60">
        <v>100</v>
      </c>
      <c r="Y48" s="47">
        <v>100</v>
      </c>
      <c r="Z48" s="43"/>
      <c r="AA48" s="43"/>
      <c r="AB48" s="43"/>
      <c r="AC48" s="43"/>
      <c r="AD48" s="43"/>
      <c r="AE48" s="43"/>
      <c r="AF48" s="43"/>
      <c r="AG48" s="43"/>
      <c r="AH48" s="43"/>
    </row>
    <row r="49" spans="1:34" s="15" customFormat="1" ht="36.75" customHeight="1">
      <c r="A49" s="44">
        <v>2025</v>
      </c>
      <c r="B49" s="49" t="s">
        <v>49</v>
      </c>
      <c r="C49" s="44" t="s">
        <v>42</v>
      </c>
      <c r="D49" s="74">
        <f t="shared" si="0"/>
        <v>1</v>
      </c>
      <c r="E49" s="38" t="s">
        <v>62</v>
      </c>
      <c r="F49" s="38" t="s">
        <v>27</v>
      </c>
      <c r="G49" s="50">
        <v>2025003050051</v>
      </c>
      <c r="H49" s="38" t="s">
        <v>174</v>
      </c>
      <c r="I49" s="3">
        <v>2264647460</v>
      </c>
      <c r="J49" s="51">
        <v>1750000000</v>
      </c>
      <c r="K49" s="44" t="s">
        <v>150</v>
      </c>
      <c r="L49" s="52" t="s">
        <v>30</v>
      </c>
      <c r="M49" s="60" t="s">
        <v>36</v>
      </c>
      <c r="N49" s="25">
        <v>46014</v>
      </c>
      <c r="O49" s="69">
        <v>46184</v>
      </c>
      <c r="P49" s="47">
        <v>100</v>
      </c>
      <c r="Q49" s="47">
        <v>78.69</v>
      </c>
      <c r="R49" s="63">
        <v>100</v>
      </c>
      <c r="S49" s="66">
        <v>81.209999999999994</v>
      </c>
      <c r="T49" s="63">
        <v>100</v>
      </c>
      <c r="U49" s="66">
        <v>81.69</v>
      </c>
      <c r="V49" s="47" t="s">
        <v>40</v>
      </c>
      <c r="W49" s="47">
        <v>40</v>
      </c>
      <c r="X49" s="60">
        <v>100</v>
      </c>
      <c r="Y49" s="47">
        <v>100</v>
      </c>
      <c r="Z49" s="43"/>
      <c r="AA49" s="43"/>
      <c r="AB49" s="43"/>
      <c r="AC49" s="43"/>
      <c r="AD49" s="43"/>
      <c r="AE49" s="43"/>
      <c r="AF49" s="43"/>
      <c r="AG49" s="43"/>
      <c r="AH49" s="43"/>
    </row>
    <row r="50" spans="1:34" s="10" customFormat="1" ht="36.75" customHeight="1">
      <c r="A50" s="48">
        <v>2025</v>
      </c>
      <c r="B50" s="38" t="s">
        <v>175</v>
      </c>
      <c r="C50" s="48" t="s">
        <v>25</v>
      </c>
      <c r="D50" s="74">
        <f t="shared" si="0"/>
        <v>1.73</v>
      </c>
      <c r="E50" s="38" t="s">
        <v>267</v>
      </c>
      <c r="F50" s="38" t="s">
        <v>27</v>
      </c>
      <c r="G50" s="50">
        <v>2025003050056</v>
      </c>
      <c r="H50" s="38" t="s">
        <v>176</v>
      </c>
      <c r="I50" s="4">
        <v>4431237626</v>
      </c>
      <c r="J50" s="51">
        <v>4431237626</v>
      </c>
      <c r="K50" s="48" t="s">
        <v>29</v>
      </c>
      <c r="L50" s="47" t="s">
        <v>30</v>
      </c>
      <c r="M50" s="63" t="s">
        <v>46</v>
      </c>
      <c r="N50" s="25">
        <v>46014</v>
      </c>
      <c r="O50" s="69">
        <v>46411</v>
      </c>
      <c r="P50" s="47">
        <v>28.94</v>
      </c>
      <c r="Q50" s="47">
        <v>27.38</v>
      </c>
      <c r="R50" s="63">
        <v>46.1</v>
      </c>
      <c r="S50" s="66">
        <v>46.1</v>
      </c>
      <c r="T50" s="66">
        <v>49.3</v>
      </c>
      <c r="U50" s="66">
        <v>46.1</v>
      </c>
      <c r="V50" s="47" t="s">
        <v>40</v>
      </c>
      <c r="W50" s="47">
        <v>100</v>
      </c>
      <c r="X50" s="60" t="s">
        <v>117</v>
      </c>
      <c r="Y50" s="47"/>
      <c r="Z50" s="43"/>
      <c r="AA50" s="70"/>
      <c r="AB50" s="70"/>
      <c r="AC50" s="70"/>
      <c r="AD50" s="70"/>
      <c r="AE50" s="70"/>
      <c r="AF50" s="70"/>
      <c r="AG50" s="70"/>
      <c r="AH50" s="70"/>
    </row>
    <row r="51" spans="1:34" s="15" customFormat="1" ht="36.75" customHeight="1">
      <c r="A51" s="44">
        <v>2025</v>
      </c>
      <c r="B51" s="49" t="s">
        <v>57</v>
      </c>
      <c r="C51" s="44" t="s">
        <v>58</v>
      </c>
      <c r="D51" s="74">
        <f t="shared" si="0"/>
        <v>1.1000000000000001</v>
      </c>
      <c r="E51" s="38" t="s">
        <v>268</v>
      </c>
      <c r="F51" s="38" t="s">
        <v>27</v>
      </c>
      <c r="G51" s="50">
        <v>2025003050044</v>
      </c>
      <c r="H51" s="38" t="s">
        <v>177</v>
      </c>
      <c r="I51" s="3">
        <v>2808881690</v>
      </c>
      <c r="J51" s="45">
        <v>2708881690</v>
      </c>
      <c r="K51" s="44" t="s">
        <v>150</v>
      </c>
      <c r="L51" s="52" t="s">
        <v>30</v>
      </c>
      <c r="M51" s="63" t="s">
        <v>36</v>
      </c>
      <c r="N51" s="25">
        <v>46014</v>
      </c>
      <c r="O51" s="69">
        <v>46231</v>
      </c>
      <c r="P51" s="47">
        <v>100</v>
      </c>
      <c r="Q51" s="47">
        <v>91.75</v>
      </c>
      <c r="R51" s="63">
        <v>100</v>
      </c>
      <c r="S51" s="66">
        <v>91.75</v>
      </c>
      <c r="T51" s="63">
        <v>100</v>
      </c>
      <c r="U51" s="66">
        <v>91.75</v>
      </c>
      <c r="V51" s="47" t="s">
        <v>40</v>
      </c>
      <c r="W51" s="47">
        <v>100</v>
      </c>
      <c r="X51" s="60">
        <v>100</v>
      </c>
      <c r="Y51" s="47">
        <v>100</v>
      </c>
      <c r="Z51" s="43"/>
      <c r="AA51" s="43"/>
      <c r="AB51" s="43"/>
      <c r="AC51" s="43"/>
      <c r="AD51" s="43"/>
      <c r="AE51" s="43"/>
      <c r="AF51" s="43"/>
      <c r="AG51" s="43"/>
      <c r="AH51" s="43"/>
    </row>
    <row r="52" spans="1:34" s="15" customFormat="1" ht="36.75" customHeight="1">
      <c r="A52" s="44">
        <v>2025</v>
      </c>
      <c r="B52" s="49" t="s">
        <v>61</v>
      </c>
      <c r="C52" s="44" t="s">
        <v>25</v>
      </c>
      <c r="D52" s="74">
        <f t="shared" si="0"/>
        <v>1</v>
      </c>
      <c r="E52" s="38" t="s">
        <v>62</v>
      </c>
      <c r="F52" s="38" t="s">
        <v>27</v>
      </c>
      <c r="G52" s="50">
        <v>2025003050045</v>
      </c>
      <c r="H52" s="38" t="s">
        <v>178</v>
      </c>
      <c r="I52" s="3">
        <v>2357899973</v>
      </c>
      <c r="J52" s="45">
        <v>1680000000</v>
      </c>
      <c r="K52" s="44" t="s">
        <v>150</v>
      </c>
      <c r="L52" s="52" t="s">
        <v>30</v>
      </c>
      <c r="M52" s="63" t="s">
        <v>46</v>
      </c>
      <c r="N52" s="25">
        <v>46013</v>
      </c>
      <c r="O52" s="69">
        <v>46348</v>
      </c>
      <c r="P52" s="47">
        <v>5.64</v>
      </c>
      <c r="Q52" s="47">
        <v>0</v>
      </c>
      <c r="R52" s="63">
        <v>19.13</v>
      </c>
      <c r="S52" s="66">
        <v>27.56</v>
      </c>
      <c r="T52" s="66">
        <v>22.45</v>
      </c>
      <c r="U52" s="66">
        <v>27.56</v>
      </c>
      <c r="V52" s="47" t="s">
        <v>40</v>
      </c>
      <c r="W52" s="47">
        <v>100</v>
      </c>
      <c r="X52" s="60">
        <v>100</v>
      </c>
      <c r="Y52" s="47"/>
      <c r="Z52" s="43"/>
      <c r="AA52" s="43"/>
      <c r="AB52" s="43"/>
      <c r="AC52" s="43"/>
      <c r="AD52" s="43"/>
      <c r="AE52" s="43"/>
      <c r="AF52" s="43"/>
      <c r="AG52" s="43"/>
      <c r="AH52" s="43"/>
    </row>
    <row r="53" spans="1:34" s="15" customFormat="1" ht="36.75" customHeight="1">
      <c r="A53" s="44">
        <v>2025</v>
      </c>
      <c r="B53" s="49" t="s">
        <v>179</v>
      </c>
      <c r="C53" s="44" t="s">
        <v>66</v>
      </c>
      <c r="D53" s="74">
        <f t="shared" si="0"/>
        <v>1</v>
      </c>
      <c r="E53" s="38" t="s">
        <v>62</v>
      </c>
      <c r="F53" s="38" t="s">
        <v>27</v>
      </c>
      <c r="G53" s="50">
        <v>2025003050050</v>
      </c>
      <c r="H53" s="38" t="s">
        <v>180</v>
      </c>
      <c r="I53" s="3">
        <v>1879328482</v>
      </c>
      <c r="J53" s="45">
        <v>1500000000</v>
      </c>
      <c r="K53" s="44" t="s">
        <v>150</v>
      </c>
      <c r="L53" s="52" t="s">
        <v>30</v>
      </c>
      <c r="M53" s="60" t="s">
        <v>36</v>
      </c>
      <c r="N53" s="25">
        <v>46014</v>
      </c>
      <c r="O53" s="69">
        <v>46212</v>
      </c>
      <c r="P53" s="47">
        <v>100</v>
      </c>
      <c r="Q53" s="47">
        <v>87.72</v>
      </c>
      <c r="R53" s="63">
        <v>100</v>
      </c>
      <c r="S53" s="66">
        <v>97.51</v>
      </c>
      <c r="T53" s="63">
        <v>100</v>
      </c>
      <c r="U53" s="66">
        <v>99.24</v>
      </c>
      <c r="V53" s="47" t="s">
        <v>40</v>
      </c>
      <c r="W53" s="47">
        <v>40</v>
      </c>
      <c r="X53" s="60">
        <v>100</v>
      </c>
      <c r="Y53" s="47">
        <v>100</v>
      </c>
      <c r="Z53" s="43"/>
      <c r="AA53" s="43"/>
      <c r="AB53" s="43"/>
      <c r="AC53" s="43"/>
      <c r="AD53" s="43"/>
      <c r="AE53" s="43"/>
      <c r="AF53" s="43"/>
      <c r="AG53" s="43"/>
      <c r="AH53" s="43"/>
    </row>
    <row r="54" spans="1:34" s="15" customFormat="1" ht="36.75" customHeight="1">
      <c r="A54" s="44">
        <v>2025</v>
      </c>
      <c r="B54" s="49" t="s">
        <v>181</v>
      </c>
      <c r="C54" s="44" t="s">
        <v>42</v>
      </c>
      <c r="D54" s="74">
        <f t="shared" si="0"/>
        <v>1</v>
      </c>
      <c r="E54" s="38" t="s">
        <v>62</v>
      </c>
      <c r="F54" s="38" t="s">
        <v>27</v>
      </c>
      <c r="G54" s="50">
        <v>2025003050049</v>
      </c>
      <c r="H54" s="38" t="s">
        <v>182</v>
      </c>
      <c r="I54" s="3">
        <v>2156349509</v>
      </c>
      <c r="J54" s="45">
        <v>1500000000</v>
      </c>
      <c r="K54" s="44" t="s">
        <v>150</v>
      </c>
      <c r="L54" s="52" t="s">
        <v>30</v>
      </c>
      <c r="M54" s="60" t="s">
        <v>36</v>
      </c>
      <c r="N54" s="25">
        <v>46014</v>
      </c>
      <c r="O54" s="69">
        <v>46214</v>
      </c>
      <c r="P54" s="52">
        <v>100</v>
      </c>
      <c r="Q54" s="52">
        <v>94.73</v>
      </c>
      <c r="R54" s="63">
        <v>100</v>
      </c>
      <c r="S54" s="66">
        <v>99.49</v>
      </c>
      <c r="T54" s="66">
        <v>100</v>
      </c>
      <c r="U54" s="66">
        <v>100</v>
      </c>
      <c r="V54" s="52" t="s">
        <v>40</v>
      </c>
      <c r="W54" s="52">
        <v>40</v>
      </c>
      <c r="X54" s="60">
        <v>100</v>
      </c>
      <c r="Y54" s="47">
        <v>100</v>
      </c>
      <c r="Z54" s="43"/>
      <c r="AA54" s="43"/>
      <c r="AB54" s="43"/>
      <c r="AC54" s="43"/>
      <c r="AD54" s="43"/>
      <c r="AE54" s="43"/>
      <c r="AF54" s="43"/>
      <c r="AG54" s="43"/>
      <c r="AH54" s="43"/>
    </row>
    <row r="55" spans="1:34" ht="36.75" customHeight="1">
      <c r="A55" s="44">
        <v>2026</v>
      </c>
      <c r="B55" s="38" t="s">
        <v>183</v>
      </c>
      <c r="C55" s="48" t="s">
        <v>58</v>
      </c>
      <c r="D55" s="75">
        <f t="shared" si="0"/>
        <v>2</v>
      </c>
      <c r="E55" s="38" t="s">
        <v>184</v>
      </c>
      <c r="F55" s="38" t="s">
        <v>105</v>
      </c>
      <c r="G55" s="50">
        <v>2025003050036</v>
      </c>
      <c r="H55" s="38" t="s">
        <v>185</v>
      </c>
      <c r="I55" s="3">
        <v>14202451801</v>
      </c>
      <c r="J55" s="3">
        <v>14202451801</v>
      </c>
      <c r="K55" s="44" t="s">
        <v>29</v>
      </c>
      <c r="L55" s="52" t="s">
        <v>30</v>
      </c>
      <c r="M55" s="63" t="s">
        <v>46</v>
      </c>
      <c r="N55" s="25">
        <v>46031</v>
      </c>
      <c r="O55" s="69">
        <v>46376</v>
      </c>
      <c r="P55" s="47">
        <v>13.9</v>
      </c>
      <c r="Q55" s="47">
        <v>35.69</v>
      </c>
      <c r="R55" s="63">
        <v>31.83</v>
      </c>
      <c r="S55" s="66">
        <v>35.69</v>
      </c>
      <c r="T55" s="66">
        <v>60.19</v>
      </c>
      <c r="U55" s="66">
        <v>38.06</v>
      </c>
      <c r="V55" s="47" t="s">
        <v>51</v>
      </c>
      <c r="W55" s="47" t="s">
        <v>51</v>
      </c>
      <c r="X55" s="60" t="s">
        <v>186</v>
      </c>
      <c r="Y55" s="47"/>
      <c r="Z55" s="43"/>
      <c r="AA55" s="43"/>
      <c r="AB55" s="43"/>
      <c r="AC55" s="43"/>
      <c r="AD55" s="43"/>
      <c r="AE55" s="43"/>
      <c r="AF55" s="43"/>
      <c r="AG55" s="43"/>
      <c r="AH55" s="43"/>
    </row>
    <row r="56" spans="1:34" s="15" customFormat="1" ht="36.75" customHeight="1">
      <c r="A56" s="44">
        <v>2026</v>
      </c>
      <c r="B56" s="38" t="s">
        <v>187</v>
      </c>
      <c r="C56" s="48" t="s">
        <v>121</v>
      </c>
      <c r="D56" s="75">
        <f t="shared" si="0"/>
        <v>2</v>
      </c>
      <c r="E56" s="38" t="s">
        <v>188</v>
      </c>
      <c r="F56" s="38" t="s">
        <v>145</v>
      </c>
      <c r="G56" s="50">
        <v>2025003050040</v>
      </c>
      <c r="H56" s="38" t="s">
        <v>189</v>
      </c>
      <c r="I56" s="3">
        <v>2540216819</v>
      </c>
      <c r="J56" s="3">
        <v>2540216819</v>
      </c>
      <c r="K56" s="44" t="s">
        <v>150</v>
      </c>
      <c r="L56" s="52" t="s">
        <v>30</v>
      </c>
      <c r="M56" s="63" t="s">
        <v>46</v>
      </c>
      <c r="N56" s="25">
        <v>46031</v>
      </c>
      <c r="O56" s="69">
        <v>46335</v>
      </c>
      <c r="P56" s="54" t="s">
        <v>51</v>
      </c>
      <c r="Q56" s="54" t="s">
        <v>51</v>
      </c>
      <c r="R56" s="63">
        <v>19</v>
      </c>
      <c r="S56" s="66">
        <v>30.46</v>
      </c>
      <c r="T56" s="63">
        <v>19</v>
      </c>
      <c r="U56" s="66">
        <v>35.57</v>
      </c>
      <c r="V56" s="47" t="s">
        <v>40</v>
      </c>
      <c r="W56" s="54" t="s">
        <v>40</v>
      </c>
      <c r="X56" s="60">
        <v>100</v>
      </c>
      <c r="Y56" s="47"/>
      <c r="Z56" s="43"/>
      <c r="AA56" s="43"/>
      <c r="AB56" s="43"/>
      <c r="AC56" s="43"/>
      <c r="AD56" s="43"/>
      <c r="AE56" s="43"/>
      <c r="AF56" s="43"/>
      <c r="AG56" s="43"/>
      <c r="AH56" s="43"/>
    </row>
    <row r="57" spans="1:34" ht="36.75" customHeight="1">
      <c r="A57" s="48">
        <v>2026</v>
      </c>
      <c r="B57" s="38" t="s">
        <v>190</v>
      </c>
      <c r="C57" s="48" t="s">
        <v>132</v>
      </c>
      <c r="D57" s="75">
        <f t="shared" si="0"/>
        <v>1</v>
      </c>
      <c r="E57" s="38" t="s">
        <v>191</v>
      </c>
      <c r="F57" s="38" t="s">
        <v>145</v>
      </c>
      <c r="G57" s="50">
        <v>2025003050039</v>
      </c>
      <c r="H57" s="38" t="s">
        <v>192</v>
      </c>
      <c r="I57" s="51">
        <v>9381110055</v>
      </c>
      <c r="J57" s="51">
        <v>9381110055</v>
      </c>
      <c r="K57" s="44" t="s">
        <v>29</v>
      </c>
      <c r="L57" s="52" t="s">
        <v>30</v>
      </c>
      <c r="M57" s="63" t="s">
        <v>46</v>
      </c>
      <c r="N57" s="25">
        <v>46031</v>
      </c>
      <c r="O57" s="69">
        <v>46505</v>
      </c>
      <c r="P57" s="47" t="s">
        <v>51</v>
      </c>
      <c r="Q57" s="47" t="s">
        <v>51</v>
      </c>
      <c r="R57" s="63" t="s">
        <v>40</v>
      </c>
      <c r="S57" s="66" t="s">
        <v>40</v>
      </c>
      <c r="T57" s="63" t="s">
        <v>40</v>
      </c>
      <c r="U57" s="66">
        <v>35.840000000000003</v>
      </c>
      <c r="V57" s="47" t="s">
        <v>40</v>
      </c>
      <c r="W57" s="60" t="s">
        <v>40</v>
      </c>
      <c r="X57" s="60" t="s">
        <v>40</v>
      </c>
      <c r="Y57" s="47"/>
      <c r="Z57" s="43"/>
      <c r="AA57" s="43"/>
      <c r="AB57" s="43"/>
      <c r="AC57" s="43"/>
      <c r="AD57" s="43"/>
      <c r="AE57" s="43"/>
      <c r="AF57" s="43"/>
      <c r="AG57" s="43"/>
      <c r="AH57" s="43"/>
    </row>
    <row r="58" spans="1:34" s="15" customFormat="1" ht="36.75" customHeight="1">
      <c r="A58" s="48">
        <v>2026</v>
      </c>
      <c r="B58" s="38" t="s">
        <v>193</v>
      </c>
      <c r="C58" s="48" t="s">
        <v>132</v>
      </c>
      <c r="D58" s="75">
        <f t="shared" si="0"/>
        <v>1.07</v>
      </c>
      <c r="E58" s="38" t="s">
        <v>269</v>
      </c>
      <c r="F58" s="38" t="s">
        <v>102</v>
      </c>
      <c r="G58" s="50">
        <v>2025003050060</v>
      </c>
      <c r="H58" s="38" t="s">
        <v>194</v>
      </c>
      <c r="I58" s="4">
        <v>5567719862</v>
      </c>
      <c r="J58" s="4">
        <v>2783859931</v>
      </c>
      <c r="K58" s="44" t="s">
        <v>150</v>
      </c>
      <c r="L58" s="52" t="s">
        <v>30</v>
      </c>
      <c r="M58" s="63" t="s">
        <v>46</v>
      </c>
      <c r="N58" s="25">
        <v>46048</v>
      </c>
      <c r="O58" s="69">
        <v>46231</v>
      </c>
      <c r="P58" s="47">
        <v>15.02</v>
      </c>
      <c r="Q58" s="47">
        <v>30</v>
      </c>
      <c r="R58" s="63">
        <v>46.43</v>
      </c>
      <c r="S58" s="66">
        <v>30</v>
      </c>
      <c r="T58" s="63">
        <v>46.43</v>
      </c>
      <c r="U58" s="66">
        <v>30</v>
      </c>
      <c r="V58" s="47">
        <v>0</v>
      </c>
      <c r="W58" s="47" t="s">
        <v>51</v>
      </c>
      <c r="X58" s="60">
        <v>0</v>
      </c>
      <c r="Y58" s="47"/>
      <c r="Z58" s="43"/>
      <c r="AA58" s="43"/>
      <c r="AB58" s="43"/>
      <c r="AC58" s="43"/>
      <c r="AD58" s="43"/>
      <c r="AE58" s="43"/>
      <c r="AF58" s="43"/>
      <c r="AG58" s="43"/>
      <c r="AH58" s="43"/>
    </row>
    <row r="59" spans="1:34" s="15" customFormat="1" ht="36.75" customHeight="1">
      <c r="A59" s="48">
        <v>2026</v>
      </c>
      <c r="B59" s="38" t="s">
        <v>195</v>
      </c>
      <c r="C59" s="48" t="s">
        <v>25</v>
      </c>
      <c r="D59" s="74">
        <f t="shared" si="0"/>
        <v>1</v>
      </c>
      <c r="E59" s="38" t="s">
        <v>62</v>
      </c>
      <c r="F59" s="38" t="s">
        <v>27</v>
      </c>
      <c r="G59" s="50">
        <v>2025003050047</v>
      </c>
      <c r="H59" s="38" t="s">
        <v>196</v>
      </c>
      <c r="I59" s="51">
        <v>2577210949</v>
      </c>
      <c r="J59" s="51">
        <v>2557210949</v>
      </c>
      <c r="K59" s="44" t="s">
        <v>150</v>
      </c>
      <c r="L59" s="52" t="s">
        <v>30</v>
      </c>
      <c r="M59" s="63" t="s">
        <v>46</v>
      </c>
      <c r="N59" s="25">
        <v>46072</v>
      </c>
      <c r="O59" s="69">
        <v>46242</v>
      </c>
      <c r="P59" s="47">
        <v>47.59</v>
      </c>
      <c r="Q59" s="47">
        <v>45.92</v>
      </c>
      <c r="R59" s="63">
        <v>86.08</v>
      </c>
      <c r="S59" s="66">
        <v>51.1</v>
      </c>
      <c r="T59" s="66">
        <v>96.48</v>
      </c>
      <c r="U59" s="66">
        <v>91.56</v>
      </c>
      <c r="V59" s="47" t="s">
        <v>40</v>
      </c>
      <c r="W59" s="54" t="s">
        <v>40</v>
      </c>
      <c r="X59" s="60" t="s">
        <v>197</v>
      </c>
      <c r="Y59" s="47"/>
      <c r="Z59" s="43"/>
      <c r="AA59" s="43"/>
      <c r="AB59" s="43"/>
      <c r="AC59" s="43"/>
      <c r="AD59" s="43"/>
      <c r="AE59" s="43"/>
      <c r="AF59" s="43"/>
      <c r="AG59" s="43"/>
      <c r="AH59" s="43"/>
    </row>
    <row r="60" spans="1:34" s="15" customFormat="1" ht="36.75" customHeight="1">
      <c r="A60" s="44">
        <v>2026</v>
      </c>
      <c r="B60" s="38" t="s">
        <v>179</v>
      </c>
      <c r="C60" s="48" t="s">
        <v>66</v>
      </c>
      <c r="D60" s="75">
        <f t="shared" si="0"/>
        <v>1</v>
      </c>
      <c r="E60" s="38" t="s">
        <v>191</v>
      </c>
      <c r="F60" s="38" t="s">
        <v>145</v>
      </c>
      <c r="G60" s="50">
        <v>2025003050059</v>
      </c>
      <c r="H60" s="38" t="s">
        <v>198</v>
      </c>
      <c r="I60" s="3">
        <v>6759815490</v>
      </c>
      <c r="J60" s="3">
        <v>6759815490</v>
      </c>
      <c r="K60" s="44" t="s">
        <v>150</v>
      </c>
      <c r="L60" s="28" t="s">
        <v>30</v>
      </c>
      <c r="M60" s="63" t="s">
        <v>46</v>
      </c>
      <c r="N60" s="25">
        <v>46077</v>
      </c>
      <c r="O60" s="69">
        <v>46472</v>
      </c>
      <c r="P60" s="47">
        <v>39.979999999999997</v>
      </c>
      <c r="Q60" s="47">
        <v>54.89</v>
      </c>
      <c r="R60" s="63">
        <v>45.86</v>
      </c>
      <c r="S60" s="66">
        <v>65.739999999999995</v>
      </c>
      <c r="T60" s="66">
        <v>56.8</v>
      </c>
      <c r="U60" s="66">
        <v>70.2</v>
      </c>
      <c r="V60" s="47" t="s">
        <v>40</v>
      </c>
      <c r="W60" s="54" t="s">
        <v>40</v>
      </c>
      <c r="X60" s="60">
        <v>60</v>
      </c>
      <c r="Y60" s="47"/>
      <c r="Z60" s="43"/>
      <c r="AA60" s="43"/>
      <c r="AB60" s="43"/>
      <c r="AC60" s="43"/>
      <c r="AD60" s="43"/>
      <c r="AE60" s="43"/>
      <c r="AF60" s="43"/>
      <c r="AG60" s="43"/>
      <c r="AH60" s="43"/>
    </row>
    <row r="61" spans="1:34" s="15" customFormat="1" ht="36.75" customHeight="1">
      <c r="A61" s="48">
        <v>2026</v>
      </c>
      <c r="B61" s="38" t="s">
        <v>199</v>
      </c>
      <c r="C61" s="48" t="s">
        <v>66</v>
      </c>
      <c r="D61" s="75">
        <f t="shared" si="0"/>
        <v>1</v>
      </c>
      <c r="E61" s="38" t="s">
        <v>200</v>
      </c>
      <c r="F61" s="38" t="s">
        <v>105</v>
      </c>
      <c r="G61" s="50">
        <v>2025003050058</v>
      </c>
      <c r="H61" s="38" t="s">
        <v>201</v>
      </c>
      <c r="I61" s="51">
        <v>1956028276</v>
      </c>
      <c r="J61" s="51">
        <v>1956028276</v>
      </c>
      <c r="K61" s="48" t="s">
        <v>150</v>
      </c>
      <c r="L61" s="29" t="s">
        <v>30</v>
      </c>
      <c r="M61" s="63" t="s">
        <v>46</v>
      </c>
      <c r="N61" s="25">
        <v>46073</v>
      </c>
      <c r="O61" s="69">
        <v>46373</v>
      </c>
      <c r="P61" s="47">
        <v>6.94</v>
      </c>
      <c r="Q61" s="47">
        <v>25</v>
      </c>
      <c r="R61" s="63">
        <v>28.56</v>
      </c>
      <c r="S61" s="66">
        <v>44.26</v>
      </c>
      <c r="T61" s="66">
        <v>47.61</v>
      </c>
      <c r="U61" s="66">
        <v>55.67</v>
      </c>
      <c r="V61" s="47">
        <v>0</v>
      </c>
      <c r="W61" s="47" t="s">
        <v>51</v>
      </c>
      <c r="X61" s="60">
        <v>60</v>
      </c>
      <c r="Y61" s="47"/>
      <c r="Z61" s="43"/>
      <c r="AA61" s="43"/>
      <c r="AB61" s="43"/>
      <c r="AC61" s="43"/>
      <c r="AD61" s="43"/>
      <c r="AE61" s="43"/>
      <c r="AF61" s="43"/>
      <c r="AG61" s="43"/>
      <c r="AH61" s="43"/>
    </row>
    <row r="62" spans="1:34" ht="36.75" customHeight="1">
      <c r="A62" s="48">
        <v>2026</v>
      </c>
      <c r="B62" s="38" t="s">
        <v>151</v>
      </c>
      <c r="C62" s="53" t="s">
        <v>25</v>
      </c>
      <c r="D62" s="75">
        <f t="shared" si="0"/>
        <v>1</v>
      </c>
      <c r="E62" s="18" t="s">
        <v>202</v>
      </c>
      <c r="F62" s="18" t="s">
        <v>105</v>
      </c>
      <c r="G62" s="73">
        <v>2025003050037</v>
      </c>
      <c r="H62" s="38" t="s">
        <v>203</v>
      </c>
      <c r="I62" s="3">
        <v>4919153330</v>
      </c>
      <c r="J62" s="3">
        <v>4919153330</v>
      </c>
      <c r="K62" s="44" t="s">
        <v>29</v>
      </c>
      <c r="L62" s="29" t="s">
        <v>30</v>
      </c>
      <c r="M62" s="63" t="s">
        <v>46</v>
      </c>
      <c r="N62" s="25">
        <v>46073</v>
      </c>
      <c r="O62" s="69">
        <v>46338</v>
      </c>
      <c r="P62" s="47">
        <v>6.37</v>
      </c>
      <c r="Q62" s="47">
        <v>29.54</v>
      </c>
      <c r="R62" s="63">
        <v>10.3</v>
      </c>
      <c r="S62" s="66">
        <v>35.76</v>
      </c>
      <c r="T62" s="66">
        <v>30.31</v>
      </c>
      <c r="U62" s="66">
        <v>52.91</v>
      </c>
      <c r="V62" s="47" t="s">
        <v>40</v>
      </c>
      <c r="W62" s="54" t="s">
        <v>40</v>
      </c>
      <c r="X62" s="60">
        <v>60</v>
      </c>
      <c r="Y62" s="47"/>
      <c r="Z62" s="43"/>
      <c r="AA62" s="43"/>
      <c r="AB62" s="43"/>
      <c r="AC62" s="43"/>
      <c r="AD62" s="43"/>
      <c r="AE62" s="43"/>
      <c r="AF62" s="43"/>
      <c r="AG62" s="43"/>
      <c r="AH62" s="43"/>
    </row>
    <row r="63" spans="1:34" ht="36.75" customHeight="1">
      <c r="A63" s="48">
        <v>2026</v>
      </c>
      <c r="B63" s="38" t="s">
        <v>204</v>
      </c>
      <c r="C63" s="53" t="s">
        <v>33</v>
      </c>
      <c r="D63" s="75">
        <f t="shared" si="0"/>
        <v>1</v>
      </c>
      <c r="E63" s="18" t="s">
        <v>205</v>
      </c>
      <c r="F63" s="18" t="s">
        <v>105</v>
      </c>
      <c r="G63" s="73">
        <v>2025003050037</v>
      </c>
      <c r="H63" s="38" t="s">
        <v>203</v>
      </c>
      <c r="I63" s="3">
        <v>4814470012</v>
      </c>
      <c r="J63" s="3">
        <v>4814470012</v>
      </c>
      <c r="K63" s="44" t="s">
        <v>29</v>
      </c>
      <c r="L63" s="29" t="s">
        <v>30</v>
      </c>
      <c r="M63" s="63" t="s">
        <v>46</v>
      </c>
      <c r="N63" s="25">
        <v>46073</v>
      </c>
      <c r="O63" s="69">
        <v>46338</v>
      </c>
      <c r="P63" s="47">
        <v>6.37</v>
      </c>
      <c r="Q63" s="47">
        <v>29.54</v>
      </c>
      <c r="R63" s="63">
        <v>10.3</v>
      </c>
      <c r="S63" s="66">
        <v>35.76</v>
      </c>
      <c r="T63" s="66">
        <v>30.31</v>
      </c>
      <c r="U63" s="66">
        <v>52.91</v>
      </c>
      <c r="V63" s="47" t="s">
        <v>40</v>
      </c>
      <c r="W63" s="54" t="s">
        <v>40</v>
      </c>
      <c r="X63" s="60">
        <v>60</v>
      </c>
      <c r="Y63" s="47"/>
      <c r="Z63" s="43"/>
      <c r="AA63" s="43"/>
      <c r="AB63" s="43"/>
      <c r="AC63" s="43"/>
      <c r="AD63" s="43"/>
      <c r="AE63" s="43"/>
      <c r="AF63" s="43"/>
      <c r="AG63" s="43"/>
      <c r="AH63" s="43"/>
    </row>
    <row r="64" spans="1:34" ht="36.75" customHeight="1">
      <c r="A64" s="48">
        <v>2026</v>
      </c>
      <c r="B64" s="38" t="s">
        <v>193</v>
      </c>
      <c r="C64" s="48" t="s">
        <v>132</v>
      </c>
      <c r="D64" s="75">
        <f t="shared" si="0"/>
        <v>0.8</v>
      </c>
      <c r="E64" s="38" t="s">
        <v>270</v>
      </c>
      <c r="F64" s="18" t="s">
        <v>102</v>
      </c>
      <c r="G64" s="50">
        <v>2026003050010</v>
      </c>
      <c r="H64" s="38" t="s">
        <v>206</v>
      </c>
      <c r="I64" s="51">
        <v>8659084152</v>
      </c>
      <c r="J64" s="51">
        <v>7659084152</v>
      </c>
      <c r="K64" s="44" t="s">
        <v>29</v>
      </c>
      <c r="L64" s="52" t="s">
        <v>30</v>
      </c>
      <c r="M64" s="63" t="s">
        <v>46</v>
      </c>
      <c r="N64" s="25">
        <v>46105</v>
      </c>
      <c r="O64" s="69">
        <v>46436</v>
      </c>
      <c r="P64" s="47">
        <v>8.81</v>
      </c>
      <c r="Q64" s="47">
        <v>36</v>
      </c>
      <c r="R64" s="63">
        <v>16.66</v>
      </c>
      <c r="S64" s="66">
        <v>37</v>
      </c>
      <c r="T64" s="66">
        <v>31.53</v>
      </c>
      <c r="U64" s="66">
        <v>38</v>
      </c>
      <c r="V64" s="47">
        <v>0</v>
      </c>
      <c r="W64" s="54" t="s">
        <v>40</v>
      </c>
      <c r="X64" s="60">
        <v>100</v>
      </c>
      <c r="Y64" s="47"/>
      <c r="Z64" s="43"/>
      <c r="AA64" s="43"/>
      <c r="AB64" s="43"/>
      <c r="AC64" s="43"/>
      <c r="AD64" s="43"/>
      <c r="AE64" s="43"/>
      <c r="AF64" s="43"/>
      <c r="AG64" s="43"/>
      <c r="AH64" s="43"/>
    </row>
    <row r="65" spans="1:34" ht="36.75" customHeight="1">
      <c r="A65" s="48">
        <v>2026</v>
      </c>
      <c r="B65" s="38" t="s">
        <v>207</v>
      </c>
      <c r="C65" s="48" t="s">
        <v>25</v>
      </c>
      <c r="D65" s="74">
        <f t="shared" si="0"/>
        <v>2</v>
      </c>
      <c r="E65" s="38" t="s">
        <v>34</v>
      </c>
      <c r="F65" s="18" t="s">
        <v>27</v>
      </c>
      <c r="G65" s="50">
        <v>2026003050009</v>
      </c>
      <c r="H65" s="38" t="s">
        <v>208</v>
      </c>
      <c r="I65" s="51">
        <v>5112178665</v>
      </c>
      <c r="J65" s="51">
        <v>4500000000</v>
      </c>
      <c r="K65" s="44" t="s">
        <v>29</v>
      </c>
      <c r="L65" s="52" t="s">
        <v>30</v>
      </c>
      <c r="M65" s="63" t="s">
        <v>46</v>
      </c>
      <c r="N65" s="25">
        <v>46107</v>
      </c>
      <c r="O65" s="69">
        <v>46450</v>
      </c>
      <c r="P65" s="47">
        <v>4.78</v>
      </c>
      <c r="Q65" s="47">
        <v>18.21</v>
      </c>
      <c r="R65" s="63">
        <v>14.94</v>
      </c>
      <c r="S65" s="66">
        <v>19.34</v>
      </c>
      <c r="T65" s="66">
        <v>27.9</v>
      </c>
      <c r="U65" s="66">
        <v>31.13</v>
      </c>
      <c r="V65" s="47">
        <v>0</v>
      </c>
      <c r="W65" s="54" t="s">
        <v>40</v>
      </c>
      <c r="X65" s="60">
        <v>100</v>
      </c>
      <c r="Y65" s="47"/>
      <c r="Z65" s="43"/>
      <c r="AA65" s="43"/>
      <c r="AB65" s="43"/>
      <c r="AC65" s="43"/>
      <c r="AD65" s="43"/>
      <c r="AE65" s="43"/>
      <c r="AF65" s="43"/>
      <c r="AG65" s="43"/>
      <c r="AH65" s="43"/>
    </row>
    <row r="66" spans="1:34" s="15" customFormat="1" ht="36.75" customHeight="1">
      <c r="A66" s="48">
        <v>2026</v>
      </c>
      <c r="B66" s="38" t="s">
        <v>209</v>
      </c>
      <c r="C66" s="48" t="s">
        <v>42</v>
      </c>
      <c r="D66" s="74">
        <f t="shared" si="0"/>
        <v>1</v>
      </c>
      <c r="E66" s="18" t="s">
        <v>62</v>
      </c>
      <c r="F66" s="18" t="s">
        <v>27</v>
      </c>
      <c r="G66" s="50">
        <v>2025003050057</v>
      </c>
      <c r="H66" s="38" t="s">
        <v>210</v>
      </c>
      <c r="I66" s="3">
        <v>2205897938</v>
      </c>
      <c r="J66" s="51">
        <v>1500000000</v>
      </c>
      <c r="K66" s="48" t="s">
        <v>150</v>
      </c>
      <c r="L66" s="52" t="s">
        <v>30</v>
      </c>
      <c r="M66" s="63" t="s">
        <v>46</v>
      </c>
      <c r="N66" s="25">
        <v>46299</v>
      </c>
      <c r="O66" s="69">
        <v>46334</v>
      </c>
      <c r="P66" s="47" t="s">
        <v>40</v>
      </c>
      <c r="Q66" s="47" t="s">
        <v>40</v>
      </c>
      <c r="R66" s="63">
        <v>19.09</v>
      </c>
      <c r="S66" s="66">
        <v>36.659999999999997</v>
      </c>
      <c r="T66" s="66">
        <v>57.61</v>
      </c>
      <c r="U66" s="66">
        <v>76.37</v>
      </c>
      <c r="V66" s="47"/>
      <c r="W66" s="47"/>
      <c r="X66" s="60">
        <v>100</v>
      </c>
      <c r="Y66" s="47"/>
      <c r="Z66" s="43"/>
      <c r="AA66" s="43"/>
      <c r="AB66" s="43"/>
      <c r="AC66" s="43"/>
      <c r="AD66" s="43"/>
      <c r="AE66" s="43"/>
      <c r="AF66" s="43"/>
      <c r="AG66" s="43"/>
      <c r="AH66" s="43"/>
    </row>
    <row r="67" spans="1:34" s="15" customFormat="1" ht="36.75" customHeight="1">
      <c r="A67" s="48">
        <v>2026</v>
      </c>
      <c r="B67" s="38" t="s">
        <v>211</v>
      </c>
      <c r="C67" s="48" t="s">
        <v>25</v>
      </c>
      <c r="D67" s="74">
        <f t="shared" si="0"/>
        <v>1</v>
      </c>
      <c r="E67" s="38" t="s">
        <v>62</v>
      </c>
      <c r="F67" s="18" t="s">
        <v>27</v>
      </c>
      <c r="G67" s="50">
        <v>2025003050052</v>
      </c>
      <c r="H67" s="38" t="s">
        <v>212</v>
      </c>
      <c r="I67" s="3">
        <v>1865730932</v>
      </c>
      <c r="J67" s="3">
        <v>1500000000</v>
      </c>
      <c r="K67" s="44" t="s">
        <v>150</v>
      </c>
      <c r="L67" s="52" t="s">
        <v>30</v>
      </c>
      <c r="M67" s="63" t="s">
        <v>138</v>
      </c>
      <c r="N67" s="25">
        <v>46132</v>
      </c>
      <c r="O67" s="68" t="s">
        <v>75</v>
      </c>
      <c r="P67" s="47" t="s">
        <v>40</v>
      </c>
      <c r="Q67" s="47" t="s">
        <v>40</v>
      </c>
      <c r="R67" s="47" t="s">
        <v>40</v>
      </c>
      <c r="S67" s="47" t="s">
        <v>40</v>
      </c>
      <c r="T67" s="47" t="s">
        <v>40</v>
      </c>
      <c r="U67" s="47" t="s">
        <v>40</v>
      </c>
      <c r="V67" s="47"/>
      <c r="W67" s="47"/>
      <c r="X67" s="60">
        <v>100</v>
      </c>
      <c r="Y67" s="47"/>
      <c r="Z67" s="43"/>
      <c r="AA67" s="43"/>
      <c r="AB67" s="43"/>
      <c r="AC67" s="43"/>
      <c r="AD67" s="43"/>
      <c r="AE67" s="43"/>
      <c r="AF67" s="43"/>
      <c r="AG67" s="43"/>
      <c r="AH67" s="43"/>
    </row>
    <row r="68" spans="1:34" s="15" customFormat="1" ht="36.75" customHeight="1">
      <c r="A68" s="48">
        <v>2026</v>
      </c>
      <c r="B68" s="38" t="s">
        <v>213</v>
      </c>
      <c r="C68" s="48" t="s">
        <v>58</v>
      </c>
      <c r="D68" s="74">
        <f t="shared" si="0"/>
        <v>1</v>
      </c>
      <c r="E68" s="38" t="s">
        <v>62</v>
      </c>
      <c r="F68" s="18" t="s">
        <v>27</v>
      </c>
      <c r="G68" s="50">
        <v>2026003050017</v>
      </c>
      <c r="H68" s="38" t="s">
        <v>214</v>
      </c>
      <c r="I68" s="4">
        <v>2177276654</v>
      </c>
      <c r="J68" s="4">
        <v>1677276654</v>
      </c>
      <c r="K68" s="44" t="s">
        <v>150</v>
      </c>
      <c r="L68" s="47" t="s">
        <v>30</v>
      </c>
      <c r="M68" s="63" t="s">
        <v>138</v>
      </c>
      <c r="N68" s="25">
        <v>46147</v>
      </c>
      <c r="O68" s="68" t="s">
        <v>75</v>
      </c>
      <c r="P68" s="47" t="s">
        <v>40</v>
      </c>
      <c r="Q68" s="47" t="s">
        <v>40</v>
      </c>
      <c r="R68" s="47" t="s">
        <v>40</v>
      </c>
      <c r="S68" s="47" t="s">
        <v>40</v>
      </c>
      <c r="T68" s="47" t="s">
        <v>40</v>
      </c>
      <c r="U68" s="47">
        <v>45.33</v>
      </c>
      <c r="V68" s="47">
        <v>0</v>
      </c>
      <c r="W68" s="47" t="s">
        <v>51</v>
      </c>
      <c r="X68" s="60" t="s">
        <v>215</v>
      </c>
      <c r="Y68" s="47"/>
      <c r="Z68" s="43"/>
      <c r="AA68" s="43"/>
      <c r="AB68" s="43"/>
      <c r="AC68" s="43"/>
      <c r="AD68" s="43"/>
      <c r="AE68" s="43"/>
      <c r="AF68" s="43"/>
      <c r="AG68" s="43"/>
      <c r="AH68" s="43"/>
    </row>
    <row r="69" spans="1:34" ht="36.75" customHeight="1">
      <c r="A69" s="48">
        <v>2026</v>
      </c>
      <c r="B69" s="38" t="s">
        <v>216</v>
      </c>
      <c r="C69" s="48" t="s">
        <v>25</v>
      </c>
      <c r="D69" s="74">
        <f t="shared" ref="D69:D84" si="1">IF(ISNUMBER(E69),E69,IFERROR(VALUE(LEFT(E69,FIND(" ",E69)-1)),1))</f>
        <v>3</v>
      </c>
      <c r="E69" s="38" t="s">
        <v>81</v>
      </c>
      <c r="F69" s="18" t="s">
        <v>27</v>
      </c>
      <c r="G69" s="50">
        <v>2026003050018</v>
      </c>
      <c r="H69" s="38" t="s">
        <v>217</v>
      </c>
      <c r="I69" s="51">
        <v>8022406899</v>
      </c>
      <c r="J69" s="51">
        <v>8022406899</v>
      </c>
      <c r="K69" s="48" t="s">
        <v>29</v>
      </c>
      <c r="L69" s="52" t="s">
        <v>30</v>
      </c>
      <c r="M69" s="63" t="s">
        <v>46</v>
      </c>
      <c r="N69" s="25">
        <v>46129</v>
      </c>
      <c r="O69" s="69">
        <v>46340</v>
      </c>
      <c r="P69" s="47">
        <v>15.5</v>
      </c>
      <c r="Q69" s="47">
        <v>46.93</v>
      </c>
      <c r="R69" s="63">
        <v>47.67</v>
      </c>
      <c r="S69" s="66">
        <v>46.93</v>
      </c>
      <c r="T69" s="66">
        <v>51.93</v>
      </c>
      <c r="U69" s="66">
        <v>63.72</v>
      </c>
      <c r="V69" s="47" t="s">
        <v>40</v>
      </c>
      <c r="W69" s="47" t="s">
        <v>51</v>
      </c>
      <c r="X69" s="60">
        <v>100</v>
      </c>
      <c r="Y69" s="47"/>
      <c r="Z69" s="43"/>
      <c r="AA69" s="43"/>
      <c r="AB69" s="43"/>
      <c r="AC69" s="43"/>
      <c r="AD69" s="43"/>
      <c r="AE69" s="43"/>
      <c r="AF69" s="43"/>
      <c r="AG69" s="43"/>
      <c r="AH69" s="43"/>
    </row>
    <row r="70" spans="1:34" s="15" customFormat="1" ht="36.75" customHeight="1">
      <c r="A70" s="48">
        <v>2026</v>
      </c>
      <c r="B70" s="38" t="s">
        <v>204</v>
      </c>
      <c r="C70" s="48" t="s">
        <v>33</v>
      </c>
      <c r="D70" s="74">
        <f t="shared" si="1"/>
        <v>1</v>
      </c>
      <c r="E70" s="38" t="s">
        <v>62</v>
      </c>
      <c r="F70" s="38" t="s">
        <v>27</v>
      </c>
      <c r="G70" s="50">
        <v>2026003050021</v>
      </c>
      <c r="H70" s="38" t="s">
        <v>218</v>
      </c>
      <c r="I70" s="3">
        <v>2356550945</v>
      </c>
      <c r="J70" s="3">
        <v>1768550945</v>
      </c>
      <c r="K70" s="44" t="s">
        <v>150</v>
      </c>
      <c r="L70" s="52" t="s">
        <v>30</v>
      </c>
      <c r="M70" s="63" t="s">
        <v>138</v>
      </c>
      <c r="N70" s="25">
        <v>46149</v>
      </c>
      <c r="O70" s="68" t="s">
        <v>75</v>
      </c>
      <c r="P70" s="47" t="s">
        <v>40</v>
      </c>
      <c r="Q70" s="47" t="s">
        <v>40</v>
      </c>
      <c r="R70" s="47" t="s">
        <v>40</v>
      </c>
      <c r="S70" s="47" t="s">
        <v>40</v>
      </c>
      <c r="T70" s="47" t="s">
        <v>40</v>
      </c>
      <c r="U70" s="47" t="s">
        <v>40</v>
      </c>
      <c r="V70" s="47">
        <v>0</v>
      </c>
      <c r="W70" s="47" t="s">
        <v>51</v>
      </c>
      <c r="X70" s="60">
        <v>75</v>
      </c>
      <c r="Y70" s="47"/>
      <c r="Z70" s="43"/>
      <c r="AA70" s="43"/>
      <c r="AB70" s="43"/>
      <c r="AC70" s="43"/>
      <c r="AD70" s="43"/>
      <c r="AE70" s="43"/>
      <c r="AF70" s="43"/>
      <c r="AG70" s="43"/>
      <c r="AH70" s="43"/>
    </row>
    <row r="71" spans="1:34" s="15" customFormat="1" ht="36.75" customHeight="1">
      <c r="A71" s="48">
        <v>2026</v>
      </c>
      <c r="B71" s="49" t="s">
        <v>219</v>
      </c>
      <c r="C71" s="44" t="s">
        <v>121</v>
      </c>
      <c r="D71" s="74">
        <f t="shared" si="1"/>
        <v>1</v>
      </c>
      <c r="E71" s="38" t="s">
        <v>62</v>
      </c>
      <c r="F71" s="38" t="s">
        <v>27</v>
      </c>
      <c r="G71" s="50">
        <v>2026003050005</v>
      </c>
      <c r="H71" s="38" t="s">
        <v>220</v>
      </c>
      <c r="I71" s="45">
        <v>2126428620</v>
      </c>
      <c r="J71" s="45">
        <v>1821081885</v>
      </c>
      <c r="K71" s="44" t="s">
        <v>150</v>
      </c>
      <c r="L71" s="52" t="s">
        <v>30</v>
      </c>
      <c r="M71" s="63" t="s">
        <v>46</v>
      </c>
      <c r="N71" s="25">
        <v>46191</v>
      </c>
      <c r="O71" s="69">
        <v>46371</v>
      </c>
      <c r="P71" s="47" t="s">
        <v>40</v>
      </c>
      <c r="Q71" s="47" t="s">
        <v>40</v>
      </c>
      <c r="R71" s="63">
        <v>11</v>
      </c>
      <c r="S71" s="66">
        <v>45.06</v>
      </c>
      <c r="T71" s="66">
        <v>43</v>
      </c>
      <c r="U71" s="66">
        <v>68.260000000000005</v>
      </c>
      <c r="V71" s="47" t="s">
        <v>40</v>
      </c>
      <c r="W71" s="47" t="s">
        <v>51</v>
      </c>
      <c r="X71" s="60">
        <v>100</v>
      </c>
      <c r="Y71" s="47"/>
      <c r="Z71" s="43"/>
      <c r="AA71" s="43"/>
      <c r="AB71" s="43"/>
      <c r="AC71" s="43"/>
      <c r="AD71" s="43"/>
      <c r="AE71" s="43"/>
      <c r="AF71" s="43"/>
      <c r="AG71" s="43"/>
      <c r="AH71" s="43"/>
    </row>
    <row r="72" spans="1:34" s="15" customFormat="1" ht="36.75" customHeight="1">
      <c r="A72" s="48">
        <v>2026</v>
      </c>
      <c r="B72" s="38" t="s">
        <v>221</v>
      </c>
      <c r="C72" s="48" t="s">
        <v>42</v>
      </c>
      <c r="D72" s="74">
        <f t="shared" si="1"/>
        <v>1</v>
      </c>
      <c r="E72" s="38" t="s">
        <v>62</v>
      </c>
      <c r="F72" s="38" t="s">
        <v>27</v>
      </c>
      <c r="G72" s="50">
        <v>2026003050006</v>
      </c>
      <c r="H72" s="38" t="s">
        <v>222</v>
      </c>
      <c r="I72" s="3">
        <v>2495192913</v>
      </c>
      <c r="J72" s="51">
        <v>2490192913</v>
      </c>
      <c r="K72" s="44" t="s">
        <v>150</v>
      </c>
      <c r="L72" s="52" t="s">
        <v>30</v>
      </c>
      <c r="M72" s="63" t="s">
        <v>223</v>
      </c>
      <c r="N72" s="25">
        <v>46170</v>
      </c>
      <c r="O72" s="68" t="s">
        <v>75</v>
      </c>
      <c r="P72" s="47" t="s">
        <v>40</v>
      </c>
      <c r="Q72" s="47" t="s">
        <v>40</v>
      </c>
      <c r="R72" s="47" t="s">
        <v>40</v>
      </c>
      <c r="S72" s="47" t="s">
        <v>40</v>
      </c>
      <c r="T72" s="47" t="s">
        <v>40</v>
      </c>
      <c r="U72" s="47" t="s">
        <v>40</v>
      </c>
      <c r="V72" s="47"/>
      <c r="W72" s="47"/>
      <c r="X72" s="60">
        <v>100</v>
      </c>
      <c r="Y72" s="47"/>
      <c r="Z72" s="43"/>
      <c r="AA72" s="43"/>
      <c r="AB72" s="43"/>
      <c r="AC72" s="43"/>
      <c r="AD72" s="43"/>
      <c r="AE72" s="43"/>
      <c r="AF72" s="43"/>
      <c r="AG72" s="43"/>
      <c r="AH72" s="43"/>
    </row>
    <row r="73" spans="1:34" s="15" customFormat="1" ht="36.75" customHeight="1">
      <c r="A73" s="48">
        <v>2026</v>
      </c>
      <c r="B73" s="7" t="s">
        <v>193</v>
      </c>
      <c r="C73" s="6" t="s">
        <v>132</v>
      </c>
      <c r="D73" s="74">
        <f t="shared" si="1"/>
        <v>1</v>
      </c>
      <c r="E73" s="7" t="s">
        <v>224</v>
      </c>
      <c r="F73" s="7" t="s">
        <v>27</v>
      </c>
      <c r="G73" s="58">
        <v>2026003050011</v>
      </c>
      <c r="H73" s="7" t="s">
        <v>225</v>
      </c>
      <c r="I73" s="16">
        <v>2095882218</v>
      </c>
      <c r="J73" s="51">
        <v>1995882218</v>
      </c>
      <c r="K73" s="44" t="s">
        <v>150</v>
      </c>
      <c r="L73" s="52" t="s">
        <v>30</v>
      </c>
      <c r="M73" s="63" t="s">
        <v>46</v>
      </c>
      <c r="N73" s="25">
        <v>46132</v>
      </c>
      <c r="O73" s="69">
        <v>46289</v>
      </c>
      <c r="P73" s="47" t="s">
        <v>40</v>
      </c>
      <c r="Q73" s="47" t="s">
        <v>40</v>
      </c>
      <c r="R73" s="63">
        <v>0</v>
      </c>
      <c r="S73" s="66">
        <v>35.729999999999997</v>
      </c>
      <c r="T73" s="63">
        <v>0</v>
      </c>
      <c r="U73" s="66">
        <v>35.729999999999997</v>
      </c>
      <c r="V73" s="47">
        <v>0</v>
      </c>
      <c r="W73" s="47" t="s">
        <v>51</v>
      </c>
      <c r="X73" s="60">
        <v>40</v>
      </c>
      <c r="Y73" s="47"/>
      <c r="Z73" s="43"/>
      <c r="AA73" s="43"/>
      <c r="AB73" s="43"/>
      <c r="AC73" s="43"/>
      <c r="AD73" s="43"/>
      <c r="AE73" s="43"/>
      <c r="AF73" s="43"/>
      <c r="AG73" s="43"/>
      <c r="AH73" s="43"/>
    </row>
    <row r="74" spans="1:34" ht="36.75" customHeight="1">
      <c r="A74" s="48">
        <v>2026</v>
      </c>
      <c r="B74" s="7" t="s">
        <v>226</v>
      </c>
      <c r="C74" s="6" t="s">
        <v>58</v>
      </c>
      <c r="D74" s="74">
        <f t="shared" si="1"/>
        <v>0.98</v>
      </c>
      <c r="E74" s="7" t="s">
        <v>271</v>
      </c>
      <c r="F74" s="7" t="s">
        <v>102</v>
      </c>
      <c r="G74" s="58">
        <v>2026003050014</v>
      </c>
      <c r="H74" s="7" t="s">
        <v>227</v>
      </c>
      <c r="I74" s="11">
        <v>5482855957</v>
      </c>
      <c r="J74" s="3">
        <v>4386284766</v>
      </c>
      <c r="K74" s="44" t="s">
        <v>29</v>
      </c>
      <c r="L74" s="52" t="s">
        <v>30</v>
      </c>
      <c r="M74" s="63" t="s">
        <v>138</v>
      </c>
      <c r="N74" s="25">
        <v>46189</v>
      </c>
      <c r="O74" s="68" t="s">
        <v>75</v>
      </c>
      <c r="P74" s="47" t="s">
        <v>40</v>
      </c>
      <c r="Q74" s="47" t="s">
        <v>40</v>
      </c>
      <c r="R74" s="47" t="s">
        <v>40</v>
      </c>
      <c r="S74" s="47" t="s">
        <v>40</v>
      </c>
      <c r="T74" s="47" t="s">
        <v>40</v>
      </c>
      <c r="U74" s="47" t="s">
        <v>40</v>
      </c>
      <c r="V74" s="46" t="s">
        <v>228</v>
      </c>
      <c r="W74" s="46" t="s">
        <v>228</v>
      </c>
      <c r="X74" s="60">
        <v>100</v>
      </c>
      <c r="Y74" s="47"/>
      <c r="Z74" s="43"/>
      <c r="AA74" s="43"/>
      <c r="AB74" s="43"/>
      <c r="AC74" s="43"/>
      <c r="AD74" s="43"/>
      <c r="AE74" s="43"/>
      <c r="AF74" s="43"/>
      <c r="AG74" s="43"/>
      <c r="AH74" s="43"/>
    </row>
    <row r="75" spans="1:34" s="15" customFormat="1" ht="36.75" customHeight="1">
      <c r="A75" s="48">
        <v>2026</v>
      </c>
      <c r="B75" s="38" t="s">
        <v>229</v>
      </c>
      <c r="C75" s="48" t="s">
        <v>66</v>
      </c>
      <c r="D75" s="74">
        <f t="shared" si="1"/>
        <v>0.54</v>
      </c>
      <c r="E75" s="18" t="s">
        <v>272</v>
      </c>
      <c r="F75" s="7" t="s">
        <v>102</v>
      </c>
      <c r="G75" s="50">
        <v>2026003050008</v>
      </c>
      <c r="H75" s="38" t="s">
        <v>230</v>
      </c>
      <c r="I75" s="3">
        <v>2300078297</v>
      </c>
      <c r="J75" s="51">
        <v>2250078297</v>
      </c>
      <c r="K75" s="44" t="s">
        <v>150</v>
      </c>
      <c r="L75" s="52" t="s">
        <v>30</v>
      </c>
      <c r="M75" s="63" t="s">
        <v>46</v>
      </c>
      <c r="N75" s="25">
        <v>46175</v>
      </c>
      <c r="O75" s="69">
        <v>46383</v>
      </c>
      <c r="P75" s="47" t="s">
        <v>40</v>
      </c>
      <c r="Q75" s="47" t="s">
        <v>40</v>
      </c>
      <c r="R75" s="63">
        <v>0</v>
      </c>
      <c r="S75" s="66">
        <v>0</v>
      </c>
      <c r="T75" s="66">
        <v>0</v>
      </c>
      <c r="U75" s="66">
        <v>0</v>
      </c>
      <c r="V75" s="46" t="s">
        <v>228</v>
      </c>
      <c r="W75" s="46" t="s">
        <v>228</v>
      </c>
      <c r="X75" s="60">
        <v>100</v>
      </c>
      <c r="Y75" s="47"/>
      <c r="Z75" s="43"/>
      <c r="AA75" s="43"/>
      <c r="AB75" s="43"/>
      <c r="AC75" s="43"/>
      <c r="AD75" s="43"/>
      <c r="AE75" s="43"/>
      <c r="AF75" s="43"/>
      <c r="AG75" s="43"/>
      <c r="AH75" s="43"/>
    </row>
    <row r="76" spans="1:34" s="15" customFormat="1" ht="36.75" customHeight="1">
      <c r="A76" s="48">
        <v>2026</v>
      </c>
      <c r="B76" s="38" t="s">
        <v>231</v>
      </c>
      <c r="C76" s="48" t="s">
        <v>66</v>
      </c>
      <c r="D76" s="75">
        <f t="shared" si="1"/>
        <v>1</v>
      </c>
      <c r="E76" s="38" t="s">
        <v>232</v>
      </c>
      <c r="F76" s="18" t="s">
        <v>105</v>
      </c>
      <c r="G76" s="50">
        <v>2026003050002</v>
      </c>
      <c r="H76" s="38" t="s">
        <v>233</v>
      </c>
      <c r="I76" s="51">
        <v>1408385533</v>
      </c>
      <c r="J76" s="51">
        <v>1408385533</v>
      </c>
      <c r="K76" s="44" t="s">
        <v>150</v>
      </c>
      <c r="L76" s="52" t="s">
        <v>30</v>
      </c>
      <c r="M76" s="63" t="s">
        <v>223</v>
      </c>
      <c r="N76" s="25">
        <v>46185</v>
      </c>
      <c r="O76" s="68" t="s">
        <v>75</v>
      </c>
      <c r="P76" s="47" t="s">
        <v>40</v>
      </c>
      <c r="Q76" s="47" t="s">
        <v>40</v>
      </c>
      <c r="R76" s="47" t="s">
        <v>40</v>
      </c>
      <c r="S76" s="47" t="s">
        <v>40</v>
      </c>
      <c r="T76" s="47" t="s">
        <v>40</v>
      </c>
      <c r="U76" s="47" t="s">
        <v>40</v>
      </c>
      <c r="V76" s="46" t="s">
        <v>228</v>
      </c>
      <c r="W76" s="46" t="s">
        <v>228</v>
      </c>
      <c r="X76" s="60">
        <v>100</v>
      </c>
      <c r="Y76" s="47"/>
      <c r="Z76" s="43"/>
      <c r="AA76" s="43"/>
      <c r="AB76" s="43"/>
      <c r="AC76" s="43"/>
      <c r="AD76" s="43"/>
      <c r="AE76" s="43"/>
      <c r="AF76" s="43"/>
      <c r="AG76" s="43"/>
      <c r="AH76" s="43"/>
    </row>
    <row r="77" spans="1:34" ht="36.75" customHeight="1">
      <c r="A77" s="48">
        <v>2026</v>
      </c>
      <c r="B77" s="38" t="s">
        <v>234</v>
      </c>
      <c r="C77" s="53" t="s">
        <v>66</v>
      </c>
      <c r="D77" s="75">
        <f t="shared" si="1"/>
        <v>2</v>
      </c>
      <c r="E77" s="18" t="s">
        <v>235</v>
      </c>
      <c r="F77" s="18" t="s">
        <v>105</v>
      </c>
      <c r="G77" s="73">
        <v>2026003050020</v>
      </c>
      <c r="H77" s="38" t="s">
        <v>236</v>
      </c>
      <c r="I77" s="51">
        <v>8105380232</v>
      </c>
      <c r="J77" s="51">
        <v>8105380232</v>
      </c>
      <c r="K77" s="44" t="s">
        <v>29</v>
      </c>
      <c r="L77" s="52" t="s">
        <v>30</v>
      </c>
      <c r="M77" s="63" t="s">
        <v>223</v>
      </c>
      <c r="N77" s="25">
        <v>46185</v>
      </c>
      <c r="O77" s="68" t="s">
        <v>75</v>
      </c>
      <c r="P77" s="47" t="s">
        <v>40</v>
      </c>
      <c r="Q77" s="47" t="s">
        <v>40</v>
      </c>
      <c r="R77" s="47" t="s">
        <v>40</v>
      </c>
      <c r="S77" s="47" t="s">
        <v>40</v>
      </c>
      <c r="T77" s="47" t="s">
        <v>40</v>
      </c>
      <c r="U77" s="47" t="s">
        <v>40</v>
      </c>
      <c r="V77" s="46" t="s">
        <v>228</v>
      </c>
      <c r="W77" s="46" t="s">
        <v>228</v>
      </c>
      <c r="X77" s="60">
        <v>100</v>
      </c>
      <c r="Y77" s="47"/>
      <c r="Z77" s="43"/>
      <c r="AA77" s="43"/>
      <c r="AB77" s="43"/>
      <c r="AC77" s="43"/>
      <c r="AD77" s="43"/>
      <c r="AE77" s="43"/>
      <c r="AF77" s="43"/>
      <c r="AG77" s="43"/>
      <c r="AH77" s="43"/>
    </row>
    <row r="78" spans="1:34" ht="36.75" customHeight="1">
      <c r="A78" s="48">
        <v>2026</v>
      </c>
      <c r="B78" s="38" t="s">
        <v>161</v>
      </c>
      <c r="C78" s="53" t="s">
        <v>66</v>
      </c>
      <c r="D78" s="75">
        <f t="shared" si="1"/>
        <v>1</v>
      </c>
      <c r="E78" s="18" t="s">
        <v>237</v>
      </c>
      <c r="F78" s="18" t="s">
        <v>105</v>
      </c>
      <c r="G78" s="73">
        <v>2026003050020</v>
      </c>
      <c r="H78" s="38" t="s">
        <v>236</v>
      </c>
      <c r="I78" s="3">
        <v>4333614485</v>
      </c>
      <c r="J78" s="3">
        <v>4333614485</v>
      </c>
      <c r="K78" s="44" t="s">
        <v>29</v>
      </c>
      <c r="L78" s="52" t="s">
        <v>30</v>
      </c>
      <c r="M78" s="63" t="s">
        <v>223</v>
      </c>
      <c r="N78" s="25">
        <v>46185</v>
      </c>
      <c r="O78" s="68" t="s">
        <v>228</v>
      </c>
      <c r="P78" s="47" t="s">
        <v>40</v>
      </c>
      <c r="Q78" s="47" t="s">
        <v>40</v>
      </c>
      <c r="R78" s="47" t="s">
        <v>40</v>
      </c>
      <c r="S78" s="47" t="s">
        <v>40</v>
      </c>
      <c r="T78" s="47" t="s">
        <v>40</v>
      </c>
      <c r="U78" s="47" t="s">
        <v>40</v>
      </c>
      <c r="V78" s="46" t="s">
        <v>228</v>
      </c>
      <c r="W78" s="46" t="s">
        <v>228</v>
      </c>
      <c r="X78" s="60">
        <v>100</v>
      </c>
      <c r="Y78" s="47"/>
      <c r="Z78" s="43"/>
      <c r="AA78" s="43"/>
      <c r="AB78" s="43"/>
      <c r="AC78" s="43"/>
      <c r="AD78" s="43"/>
      <c r="AE78" s="43"/>
      <c r="AF78" s="43"/>
      <c r="AG78" s="43"/>
      <c r="AH78" s="43"/>
    </row>
    <row r="79" spans="1:34" ht="36.75" customHeight="1">
      <c r="A79" s="48">
        <v>2026</v>
      </c>
      <c r="B79" s="38" t="s">
        <v>172</v>
      </c>
      <c r="C79" s="53" t="s">
        <v>42</v>
      </c>
      <c r="D79" s="75">
        <f t="shared" si="1"/>
        <v>1</v>
      </c>
      <c r="E79" s="18" t="s">
        <v>238</v>
      </c>
      <c r="F79" s="18" t="s">
        <v>105</v>
      </c>
      <c r="G79" s="73">
        <v>2026003050015</v>
      </c>
      <c r="H79" s="38" t="s">
        <v>239</v>
      </c>
      <c r="I79" s="3">
        <v>3806958402</v>
      </c>
      <c r="J79" s="3">
        <v>3806958402</v>
      </c>
      <c r="K79" s="44" t="s">
        <v>29</v>
      </c>
      <c r="L79" s="52" t="s">
        <v>30</v>
      </c>
      <c r="M79" s="63" t="s">
        <v>223</v>
      </c>
      <c r="N79" s="25">
        <v>46185</v>
      </c>
      <c r="O79" s="68" t="s">
        <v>228</v>
      </c>
      <c r="P79" s="47" t="s">
        <v>40</v>
      </c>
      <c r="Q79" s="47" t="s">
        <v>40</v>
      </c>
      <c r="R79" s="47" t="s">
        <v>40</v>
      </c>
      <c r="S79" s="47" t="s">
        <v>40</v>
      </c>
      <c r="T79" s="47" t="s">
        <v>40</v>
      </c>
      <c r="U79" s="47" t="s">
        <v>40</v>
      </c>
      <c r="V79" s="46" t="s">
        <v>228</v>
      </c>
      <c r="W79" s="46" t="s">
        <v>228</v>
      </c>
      <c r="X79" s="60">
        <v>100</v>
      </c>
      <c r="Y79" s="47"/>
      <c r="Z79" s="43"/>
      <c r="AA79" s="43"/>
      <c r="AB79" s="43"/>
      <c r="AC79" s="43"/>
      <c r="AD79" s="43"/>
      <c r="AE79" s="43"/>
      <c r="AF79" s="43"/>
      <c r="AG79" s="43"/>
      <c r="AH79" s="43"/>
    </row>
    <row r="80" spans="1:34" ht="36.75" customHeight="1">
      <c r="A80" s="48">
        <v>2026</v>
      </c>
      <c r="B80" s="38" t="s">
        <v>240</v>
      </c>
      <c r="C80" s="53" t="s">
        <v>58</v>
      </c>
      <c r="D80" s="75">
        <f t="shared" si="1"/>
        <v>1</v>
      </c>
      <c r="E80" s="18" t="s">
        <v>241</v>
      </c>
      <c r="F80" s="18" t="s">
        <v>105</v>
      </c>
      <c r="G80" s="73">
        <v>2026003050015</v>
      </c>
      <c r="H80" s="38" t="s">
        <v>239</v>
      </c>
      <c r="I80" s="3">
        <v>2044483403</v>
      </c>
      <c r="J80" s="3">
        <v>2044483403</v>
      </c>
      <c r="K80" s="44" t="s">
        <v>29</v>
      </c>
      <c r="L80" s="52" t="s">
        <v>30</v>
      </c>
      <c r="M80" s="63" t="s">
        <v>223</v>
      </c>
      <c r="N80" s="25">
        <v>46185</v>
      </c>
      <c r="O80" s="68" t="s">
        <v>228</v>
      </c>
      <c r="P80" s="47" t="s">
        <v>40</v>
      </c>
      <c r="Q80" s="47" t="s">
        <v>40</v>
      </c>
      <c r="R80" s="47" t="s">
        <v>40</v>
      </c>
      <c r="S80" s="47" t="s">
        <v>40</v>
      </c>
      <c r="T80" s="47" t="s">
        <v>40</v>
      </c>
      <c r="U80" s="47" t="s">
        <v>40</v>
      </c>
      <c r="V80" s="46" t="s">
        <v>228</v>
      </c>
      <c r="W80" s="46" t="s">
        <v>228</v>
      </c>
      <c r="X80" s="60">
        <v>100</v>
      </c>
      <c r="Y80" s="47"/>
      <c r="Z80" s="43"/>
      <c r="AA80" s="43"/>
      <c r="AB80" s="43"/>
      <c r="AC80" s="43"/>
      <c r="AD80" s="43"/>
      <c r="AE80" s="43"/>
      <c r="AF80" s="43"/>
      <c r="AG80" s="43"/>
      <c r="AH80" s="43"/>
    </row>
    <row r="81" spans="1:34" ht="36.75" customHeight="1">
      <c r="A81" s="48">
        <v>2026</v>
      </c>
      <c r="B81" s="38" t="s">
        <v>242</v>
      </c>
      <c r="C81" s="48" t="s">
        <v>132</v>
      </c>
      <c r="D81" s="75">
        <f t="shared" si="1"/>
        <v>2</v>
      </c>
      <c r="E81" s="19" t="s">
        <v>243</v>
      </c>
      <c r="F81" s="18" t="s">
        <v>105</v>
      </c>
      <c r="G81" s="50">
        <v>2026003050025</v>
      </c>
      <c r="H81" s="38" t="s">
        <v>244</v>
      </c>
      <c r="I81" s="3">
        <v>3738220582</v>
      </c>
      <c r="J81" s="3">
        <v>3738220582</v>
      </c>
      <c r="K81" s="44" t="s">
        <v>29</v>
      </c>
      <c r="L81" s="52" t="s">
        <v>30</v>
      </c>
      <c r="M81" s="63" t="s">
        <v>223</v>
      </c>
      <c r="N81" s="25">
        <v>46185</v>
      </c>
      <c r="O81" s="68" t="s">
        <v>228</v>
      </c>
      <c r="P81" s="47" t="s">
        <v>40</v>
      </c>
      <c r="Q81" s="47" t="s">
        <v>40</v>
      </c>
      <c r="R81" s="47" t="s">
        <v>40</v>
      </c>
      <c r="S81" s="47" t="s">
        <v>40</v>
      </c>
      <c r="T81" s="47" t="s">
        <v>40</v>
      </c>
      <c r="U81" s="47" t="s">
        <v>40</v>
      </c>
      <c r="V81" s="46" t="s">
        <v>228</v>
      </c>
      <c r="W81" s="46" t="s">
        <v>228</v>
      </c>
      <c r="X81" s="60">
        <v>100</v>
      </c>
      <c r="Y81" s="47"/>
      <c r="Z81" s="43"/>
      <c r="AA81" s="43"/>
      <c r="AB81" s="43"/>
      <c r="AC81" s="43"/>
      <c r="AD81" s="43"/>
      <c r="AE81" s="43"/>
      <c r="AF81" s="43"/>
      <c r="AG81" s="43"/>
      <c r="AH81" s="43"/>
    </row>
    <row r="82" spans="1:34" s="15" customFormat="1" ht="36.75" customHeight="1">
      <c r="A82" s="48">
        <v>2026</v>
      </c>
      <c r="B82" s="7" t="s">
        <v>245</v>
      </c>
      <c r="C82" s="48" t="s">
        <v>132</v>
      </c>
      <c r="D82" s="74">
        <f t="shared" si="1"/>
        <v>1</v>
      </c>
      <c r="E82" s="38" t="s">
        <v>246</v>
      </c>
      <c r="F82" s="38" t="s">
        <v>27</v>
      </c>
      <c r="G82" s="50">
        <v>2026003050016</v>
      </c>
      <c r="H82" s="38" t="s">
        <v>247</v>
      </c>
      <c r="I82" s="4">
        <v>2343812951</v>
      </c>
      <c r="J82" s="4">
        <v>1875050361</v>
      </c>
      <c r="K82" s="44" t="s">
        <v>150</v>
      </c>
      <c r="L82" s="47" t="s">
        <v>30</v>
      </c>
      <c r="M82" s="63" t="s">
        <v>51</v>
      </c>
      <c r="N82" s="25"/>
      <c r="O82" s="68" t="s">
        <v>51</v>
      </c>
      <c r="P82" s="47" t="s">
        <v>40</v>
      </c>
      <c r="Q82" s="47" t="s">
        <v>40</v>
      </c>
      <c r="R82" s="47" t="s">
        <v>40</v>
      </c>
      <c r="S82" s="47" t="s">
        <v>40</v>
      </c>
      <c r="T82" s="47" t="s">
        <v>40</v>
      </c>
      <c r="U82" s="47" t="s">
        <v>40</v>
      </c>
      <c r="V82" s="47" t="s">
        <v>40</v>
      </c>
      <c r="W82" s="47" t="s">
        <v>40</v>
      </c>
      <c r="X82" s="60" t="s">
        <v>40</v>
      </c>
      <c r="Y82" s="47"/>
      <c r="Z82" s="43"/>
      <c r="AA82" s="43"/>
      <c r="AB82" s="43"/>
      <c r="AC82" s="43"/>
      <c r="AD82" s="43"/>
      <c r="AE82" s="43"/>
      <c r="AF82" s="43"/>
      <c r="AG82" s="43"/>
      <c r="AH82" s="43"/>
    </row>
    <row r="83" spans="1:34" ht="36.75" customHeight="1">
      <c r="A83" s="48">
        <v>2026</v>
      </c>
      <c r="B83" s="7" t="s">
        <v>248</v>
      </c>
      <c r="C83" s="48" t="s">
        <v>121</v>
      </c>
      <c r="D83" s="75">
        <f t="shared" si="1"/>
        <v>1</v>
      </c>
      <c r="E83" s="38" t="s">
        <v>249</v>
      </c>
      <c r="F83" s="38" t="s">
        <v>250</v>
      </c>
      <c r="G83" s="50">
        <v>2026003050022</v>
      </c>
      <c r="H83" s="38" t="s">
        <v>251</v>
      </c>
      <c r="I83" s="51">
        <v>6654540000</v>
      </c>
      <c r="J83" s="51">
        <v>6654540000</v>
      </c>
      <c r="K83" s="48" t="s">
        <v>29</v>
      </c>
      <c r="L83" s="52" t="s">
        <v>30</v>
      </c>
      <c r="M83" s="63" t="s">
        <v>223</v>
      </c>
      <c r="N83" s="69">
        <v>46239</v>
      </c>
      <c r="O83" s="68" t="s">
        <v>228</v>
      </c>
      <c r="P83" s="47" t="s">
        <v>40</v>
      </c>
      <c r="Q83" s="47" t="s">
        <v>40</v>
      </c>
      <c r="R83" s="47" t="s">
        <v>40</v>
      </c>
      <c r="S83" s="47" t="s">
        <v>40</v>
      </c>
      <c r="T83" s="47" t="s">
        <v>40</v>
      </c>
      <c r="U83" s="47" t="s">
        <v>40</v>
      </c>
      <c r="V83" s="47" t="s">
        <v>40</v>
      </c>
      <c r="W83" s="47" t="s">
        <v>40</v>
      </c>
      <c r="X83" s="60" t="s">
        <v>40</v>
      </c>
      <c r="Y83" s="47"/>
      <c r="Z83" s="43"/>
      <c r="AA83" s="43"/>
      <c r="AB83" s="43"/>
      <c r="AC83" s="43"/>
      <c r="AD83" s="43"/>
      <c r="AE83" s="43"/>
      <c r="AF83" s="43"/>
      <c r="AG83" s="43"/>
      <c r="AH83" s="43"/>
    </row>
    <row r="84" spans="1:34" ht="36.75" customHeight="1">
      <c r="A84" s="48">
        <v>2026</v>
      </c>
      <c r="B84" s="7" t="s">
        <v>190</v>
      </c>
      <c r="C84" s="48" t="s">
        <v>132</v>
      </c>
      <c r="D84" s="75">
        <f t="shared" si="1"/>
        <v>1</v>
      </c>
      <c r="E84" s="38" t="s">
        <v>252</v>
      </c>
      <c r="F84" s="38" t="s">
        <v>253</v>
      </c>
      <c r="G84" s="50">
        <v>2026003050019</v>
      </c>
      <c r="H84" s="38" t="s">
        <v>254</v>
      </c>
      <c r="I84" s="51">
        <v>8154980500</v>
      </c>
      <c r="J84" s="51">
        <v>8054980500</v>
      </c>
      <c r="K84" s="48" t="s">
        <v>29</v>
      </c>
      <c r="L84" s="52" t="s">
        <v>30</v>
      </c>
      <c r="M84" s="63" t="s">
        <v>223</v>
      </c>
      <c r="N84" s="69">
        <v>46212</v>
      </c>
      <c r="O84" s="68" t="s">
        <v>228</v>
      </c>
      <c r="P84" s="47" t="s">
        <v>40</v>
      </c>
      <c r="Q84" s="47" t="s">
        <v>40</v>
      </c>
      <c r="R84" s="47" t="s">
        <v>40</v>
      </c>
      <c r="S84" s="47" t="s">
        <v>40</v>
      </c>
      <c r="T84" s="47" t="s">
        <v>40</v>
      </c>
      <c r="U84" s="47" t="s">
        <v>40</v>
      </c>
      <c r="V84" s="47" t="s">
        <v>40</v>
      </c>
      <c r="W84" s="47" t="s">
        <v>40</v>
      </c>
      <c r="X84" s="60" t="s">
        <v>40</v>
      </c>
      <c r="Y84" s="47"/>
      <c r="Z84" s="43"/>
      <c r="AA84" s="43"/>
      <c r="AB84" s="43"/>
      <c r="AC84" s="43"/>
      <c r="AD84" s="43"/>
      <c r="AE84" s="43"/>
      <c r="AF84" s="43"/>
      <c r="AG84" s="43"/>
      <c r="AH84" s="43"/>
    </row>
    <row r="85" spans="1:34" s="15" customFormat="1">
      <c r="A85" s="43"/>
      <c r="B85" s="55"/>
      <c r="C85" s="43"/>
      <c r="D85" s="43"/>
      <c r="E85" s="55"/>
      <c r="F85" s="20"/>
      <c r="G85" s="56"/>
      <c r="H85" s="43"/>
      <c r="I85" s="17">
        <f>SUM(I3:I84)</f>
        <v>407590065875.80005</v>
      </c>
      <c r="J85" s="17">
        <f>SUM(J3:J84)</f>
        <v>366081780790</v>
      </c>
      <c r="K85" s="17"/>
      <c r="L85" s="41"/>
      <c r="M85" s="41"/>
      <c r="N85" s="42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3"/>
      <c r="AA85" s="43"/>
      <c r="AB85" s="43"/>
      <c r="AC85" s="43"/>
      <c r="AD85" s="43"/>
      <c r="AE85" s="43"/>
      <c r="AF85" s="43"/>
      <c r="AG85" s="43"/>
      <c r="AH85" s="43"/>
    </row>
    <row r="86" spans="1:34" s="15" customFormat="1">
      <c r="A86" s="43"/>
      <c r="B86" s="55"/>
      <c r="C86" s="43"/>
      <c r="D86" s="43"/>
      <c r="E86" s="55"/>
      <c r="F86" s="20"/>
      <c r="G86" s="56"/>
      <c r="H86" s="43"/>
      <c r="I86" s="57"/>
      <c r="J86" s="57"/>
      <c r="K86" s="57"/>
      <c r="L86" s="41"/>
      <c r="M86" s="41"/>
      <c r="N86" s="42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3"/>
      <c r="AA86" s="43"/>
      <c r="AB86" s="43"/>
      <c r="AC86" s="43"/>
      <c r="AD86" s="43"/>
      <c r="AE86" s="43"/>
      <c r="AF86" s="43"/>
      <c r="AG86" s="43"/>
      <c r="AH86" s="43"/>
    </row>
    <row r="87" spans="1:34" s="15" customFormat="1">
      <c r="A87" s="43"/>
      <c r="B87" s="55"/>
      <c r="C87" s="43"/>
      <c r="D87" s="43"/>
      <c r="E87" s="55"/>
      <c r="F87" s="20"/>
      <c r="G87" s="56"/>
      <c r="H87" s="43"/>
      <c r="I87" s="57"/>
      <c r="J87" s="57"/>
      <c r="K87" s="57"/>
      <c r="L87" s="41"/>
      <c r="M87" s="41"/>
      <c r="N87" s="42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3"/>
      <c r="AA87" s="43"/>
      <c r="AB87" s="43"/>
      <c r="AC87" s="43"/>
      <c r="AD87" s="43"/>
      <c r="AE87" s="43"/>
      <c r="AF87" s="43"/>
      <c r="AG87" s="43"/>
      <c r="AH87" s="43"/>
    </row>
    <row r="88" spans="1:34" s="15" customFormat="1">
      <c r="A88" s="43"/>
      <c r="B88" s="55"/>
      <c r="C88" s="43"/>
      <c r="D88" s="43"/>
      <c r="E88" s="55"/>
      <c r="F88" s="20"/>
      <c r="G88" s="56"/>
      <c r="H88" s="43"/>
      <c r="I88" s="57"/>
      <c r="J88" s="57"/>
      <c r="K88" s="57"/>
      <c r="L88" s="41"/>
      <c r="M88" s="41"/>
      <c r="N88" s="42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3"/>
      <c r="AA88" s="43"/>
      <c r="AB88" s="43"/>
      <c r="AC88" s="43"/>
      <c r="AD88" s="43"/>
      <c r="AE88" s="43"/>
      <c r="AF88" s="43"/>
      <c r="AG88" s="43"/>
      <c r="AH88" s="43"/>
    </row>
    <row r="89" spans="1:34" s="15" customFormat="1">
      <c r="A89" s="43"/>
      <c r="B89" s="55"/>
      <c r="C89" s="43"/>
      <c r="D89" s="43"/>
      <c r="E89" s="55"/>
      <c r="F89" s="20"/>
      <c r="G89" s="56"/>
      <c r="H89" s="43"/>
      <c r="I89" s="57"/>
      <c r="J89" s="57"/>
      <c r="K89" s="57"/>
      <c r="L89" s="41"/>
      <c r="M89" s="41"/>
      <c r="N89" s="42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3"/>
      <c r="AA89" s="43"/>
      <c r="AB89" s="43"/>
      <c r="AC89" s="43"/>
      <c r="AD89" s="43"/>
      <c r="AE89" s="43"/>
      <c r="AF89" s="43"/>
      <c r="AG89" s="43"/>
      <c r="AH89" s="43"/>
    </row>
    <row r="90" spans="1:34" s="15" customFormat="1">
      <c r="A90" s="43"/>
      <c r="B90" s="55"/>
      <c r="C90" s="43"/>
      <c r="D90" s="43"/>
      <c r="E90" s="55"/>
      <c r="F90" s="20"/>
      <c r="G90" s="56"/>
      <c r="H90" s="43"/>
      <c r="I90" s="57"/>
      <c r="J90" s="57"/>
      <c r="K90" s="57"/>
      <c r="L90" s="41"/>
      <c r="M90" s="41"/>
      <c r="N90" s="42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3"/>
      <c r="AA90" s="43"/>
      <c r="AB90" s="43"/>
      <c r="AC90" s="43"/>
      <c r="AD90" s="43"/>
      <c r="AE90" s="43"/>
      <c r="AF90" s="43"/>
      <c r="AG90" s="43"/>
      <c r="AH90" s="43"/>
    </row>
    <row r="91" spans="1:34" s="15" customFormat="1">
      <c r="A91" s="43"/>
      <c r="B91" s="55"/>
      <c r="C91" s="43"/>
      <c r="D91" s="43"/>
      <c r="E91" s="55"/>
      <c r="F91" s="20"/>
      <c r="G91" s="56"/>
      <c r="H91" s="43"/>
      <c r="I91" s="57"/>
      <c r="J91" s="57"/>
      <c r="K91" s="57"/>
      <c r="L91" s="41"/>
      <c r="M91" s="41"/>
      <c r="N91" s="42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3"/>
      <c r="AA91" s="43"/>
      <c r="AB91" s="43"/>
      <c r="AC91" s="43"/>
      <c r="AD91" s="43"/>
      <c r="AE91" s="43"/>
      <c r="AF91" s="43"/>
      <c r="AG91" s="43"/>
      <c r="AH91" s="43"/>
    </row>
    <row r="92" spans="1:34" s="15" customFormat="1">
      <c r="A92" s="43"/>
      <c r="B92" s="55"/>
      <c r="C92" s="43"/>
      <c r="D92" s="43"/>
      <c r="E92" s="55"/>
      <c r="F92" s="20"/>
      <c r="G92" s="56"/>
      <c r="H92" s="43"/>
      <c r="I92" s="57"/>
      <c r="J92" s="57"/>
      <c r="K92" s="57"/>
      <c r="L92" s="41"/>
      <c r="M92" s="41"/>
      <c r="N92" s="42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3"/>
      <c r="AA92" s="43"/>
      <c r="AB92" s="43"/>
      <c r="AC92" s="43"/>
      <c r="AD92" s="43"/>
      <c r="AE92" s="43"/>
      <c r="AF92" s="43"/>
      <c r="AG92" s="43"/>
      <c r="AH92" s="43"/>
    </row>
    <row r="93" spans="1:34" s="15" customFormat="1">
      <c r="A93" s="43"/>
      <c r="B93" s="55"/>
      <c r="C93" s="43"/>
      <c r="D93" s="43"/>
      <c r="E93" s="55"/>
      <c r="F93" s="20"/>
      <c r="G93" s="56"/>
      <c r="H93" s="43"/>
      <c r="I93" s="57"/>
      <c r="J93" s="57"/>
      <c r="K93" s="57"/>
      <c r="L93" s="41"/>
      <c r="M93" s="41"/>
      <c r="N93" s="42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3"/>
      <c r="AA93" s="43"/>
      <c r="AB93" s="43"/>
      <c r="AC93" s="43"/>
      <c r="AD93" s="43"/>
      <c r="AE93" s="43"/>
      <c r="AF93" s="43"/>
      <c r="AG93" s="43"/>
      <c r="AH93" s="43"/>
    </row>
    <row r="94" spans="1:34" s="15" customFormat="1">
      <c r="A94" s="43"/>
      <c r="B94" s="55"/>
      <c r="C94" s="43"/>
      <c r="D94" s="43"/>
      <c r="E94" s="55"/>
      <c r="F94" s="20"/>
      <c r="G94" s="56"/>
      <c r="H94" s="43"/>
      <c r="I94" s="57"/>
      <c r="J94" s="57"/>
      <c r="K94" s="57"/>
      <c r="L94" s="41"/>
      <c r="M94" s="41"/>
      <c r="N94" s="42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3"/>
      <c r="AA94" s="43"/>
      <c r="AB94" s="43"/>
      <c r="AC94" s="43"/>
      <c r="AD94" s="43"/>
      <c r="AE94" s="43"/>
      <c r="AF94" s="43"/>
      <c r="AG94" s="43"/>
      <c r="AH94" s="43"/>
    </row>
    <row r="95" spans="1:34" s="15" customFormat="1">
      <c r="A95" s="43"/>
      <c r="B95" s="55"/>
      <c r="C95" s="43"/>
      <c r="D95" s="43"/>
      <c r="E95" s="55"/>
      <c r="F95" s="20"/>
      <c r="G95" s="56"/>
      <c r="H95" s="43"/>
      <c r="I95" s="57"/>
      <c r="J95" s="57"/>
      <c r="K95" s="57"/>
      <c r="L95" s="41"/>
      <c r="M95" s="41"/>
      <c r="N95" s="42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3"/>
      <c r="AA95" s="43"/>
      <c r="AB95" s="43"/>
      <c r="AC95" s="43"/>
      <c r="AD95" s="43"/>
      <c r="AE95" s="43"/>
      <c r="AF95" s="43"/>
      <c r="AG95" s="43"/>
      <c r="AH95" s="43"/>
    </row>
    <row r="96" spans="1:34">
      <c r="A96" s="43"/>
      <c r="B96" s="55"/>
      <c r="C96" s="43"/>
      <c r="D96" s="43"/>
      <c r="E96" s="55"/>
      <c r="F96" s="55"/>
      <c r="G96" s="56"/>
      <c r="H96" s="55"/>
      <c r="I96" s="57"/>
      <c r="J96" s="57"/>
      <c r="K96" s="57"/>
      <c r="L96" s="41"/>
      <c r="M96" s="41"/>
      <c r="N96" s="42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3"/>
      <c r="AA96" s="43"/>
      <c r="AB96" s="43"/>
      <c r="AC96" s="43"/>
      <c r="AD96" s="43"/>
      <c r="AE96" s="43"/>
      <c r="AF96" s="43"/>
      <c r="AG96" s="43"/>
      <c r="AH96" s="43"/>
    </row>
    <row r="97" spans="1:34">
      <c r="A97" s="43"/>
      <c r="B97" s="55"/>
      <c r="C97" s="43"/>
      <c r="D97" s="43"/>
      <c r="E97" s="55"/>
      <c r="F97" s="55"/>
      <c r="G97" s="56"/>
      <c r="H97" s="55"/>
      <c r="I97" s="57"/>
      <c r="J97" s="57"/>
      <c r="K97" s="57"/>
      <c r="L97" s="41"/>
      <c r="M97" s="41"/>
      <c r="N97" s="42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3"/>
      <c r="AA97" s="43"/>
      <c r="AB97" s="43"/>
      <c r="AC97" s="43"/>
      <c r="AD97" s="43"/>
      <c r="AE97" s="43"/>
      <c r="AF97" s="43"/>
      <c r="AG97" s="43"/>
      <c r="AH97" s="43"/>
    </row>
    <row r="98" spans="1:34">
      <c r="A98" s="43"/>
      <c r="B98" s="55"/>
      <c r="C98" s="43"/>
      <c r="D98" s="43"/>
      <c r="E98" s="55"/>
      <c r="F98" s="55"/>
      <c r="G98" s="56"/>
      <c r="H98" s="55"/>
      <c r="I98" s="57"/>
      <c r="J98" s="57"/>
      <c r="K98" s="43"/>
      <c r="L98" s="41"/>
      <c r="M98" s="41"/>
      <c r="N98" s="42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3"/>
      <c r="AA98" s="43"/>
      <c r="AB98" s="43"/>
      <c r="AC98" s="43"/>
      <c r="AD98" s="43"/>
      <c r="AE98" s="43"/>
      <c r="AF98" s="43"/>
      <c r="AG98" s="43"/>
      <c r="AH98" s="43"/>
    </row>
    <row r="99" spans="1:34">
      <c r="A99" s="43"/>
      <c r="B99" s="55"/>
      <c r="C99" s="43"/>
      <c r="D99" s="43"/>
      <c r="E99" s="55"/>
      <c r="F99" s="55"/>
      <c r="G99" s="56"/>
      <c r="H99" s="55"/>
      <c r="I99" s="57"/>
      <c r="J99" s="57"/>
      <c r="K99" s="43"/>
      <c r="L99" s="41"/>
      <c r="M99" s="41"/>
      <c r="N99" s="42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3"/>
      <c r="AA99" s="43"/>
      <c r="AB99" s="43"/>
      <c r="AC99" s="43"/>
      <c r="AD99" s="43"/>
      <c r="AE99" s="43"/>
      <c r="AF99" s="43"/>
      <c r="AG99" s="43"/>
      <c r="AH99" s="43"/>
    </row>
    <row r="100" spans="1:34">
      <c r="A100" s="43"/>
      <c r="B100" s="55"/>
      <c r="C100" s="43"/>
      <c r="D100" s="43"/>
      <c r="E100" s="55"/>
      <c r="F100" s="55"/>
      <c r="G100" s="56"/>
      <c r="H100" s="55"/>
      <c r="I100" s="57"/>
      <c r="J100" s="57"/>
      <c r="K100" s="43"/>
      <c r="L100" s="41"/>
      <c r="M100" s="41"/>
      <c r="N100" s="42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3"/>
      <c r="AA100" s="43"/>
      <c r="AB100" s="43"/>
      <c r="AC100" s="43"/>
      <c r="AD100" s="43"/>
      <c r="AE100" s="43"/>
      <c r="AF100" s="43"/>
      <c r="AG100" s="43"/>
      <c r="AH100" s="43"/>
    </row>
    <row r="101" spans="1:34">
      <c r="A101" s="43"/>
      <c r="B101" s="55"/>
      <c r="C101" s="43"/>
      <c r="D101" s="43"/>
      <c r="E101" s="55"/>
      <c r="F101" s="55"/>
      <c r="G101" s="56"/>
      <c r="H101" s="55"/>
      <c r="I101" s="57"/>
      <c r="J101" s="57"/>
      <c r="K101" s="43"/>
      <c r="L101" s="41"/>
      <c r="M101" s="41"/>
      <c r="N101" s="42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3"/>
      <c r="AA101" s="43"/>
      <c r="AB101" s="43"/>
      <c r="AC101" s="43"/>
      <c r="AD101" s="43"/>
      <c r="AE101" s="43"/>
      <c r="AF101" s="43"/>
      <c r="AG101" s="43"/>
      <c r="AH101" s="43"/>
    </row>
    <row r="102" spans="1:34">
      <c r="A102" s="43"/>
      <c r="B102" s="55"/>
      <c r="C102" s="43"/>
      <c r="D102" s="43"/>
      <c r="E102" s="55"/>
      <c r="F102" s="55"/>
      <c r="G102" s="56"/>
      <c r="H102" s="55"/>
      <c r="I102" s="57"/>
      <c r="J102" s="57"/>
      <c r="K102" s="43"/>
      <c r="L102" s="41"/>
      <c r="M102" s="41"/>
      <c r="N102" s="42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3"/>
      <c r="AA102" s="43"/>
      <c r="AB102" s="43"/>
      <c r="AC102" s="43"/>
      <c r="AD102" s="43"/>
      <c r="AE102" s="43"/>
      <c r="AF102" s="43"/>
      <c r="AG102" s="43"/>
      <c r="AH102" s="43"/>
    </row>
    <row r="103" spans="1:34">
      <c r="A103" s="43"/>
      <c r="B103" s="55"/>
      <c r="C103" s="43"/>
      <c r="D103" s="43"/>
      <c r="E103" s="55"/>
      <c r="F103" s="55"/>
      <c r="G103" s="56"/>
      <c r="H103" s="55"/>
      <c r="I103" s="57"/>
      <c r="J103" s="57"/>
      <c r="K103" s="43"/>
      <c r="L103" s="41"/>
      <c r="M103" s="41"/>
      <c r="N103" s="42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3"/>
      <c r="AA103" s="43"/>
      <c r="AB103" s="43"/>
      <c r="AC103" s="43"/>
      <c r="AD103" s="43"/>
      <c r="AE103" s="43"/>
      <c r="AF103" s="43"/>
      <c r="AG103" s="43"/>
      <c r="AH103" s="43"/>
    </row>
    <row r="104" spans="1:34">
      <c r="A104" s="43"/>
      <c r="B104" s="55"/>
      <c r="C104" s="43"/>
      <c r="D104" s="43"/>
      <c r="E104" s="55"/>
      <c r="F104" s="55"/>
      <c r="G104" s="56"/>
      <c r="H104" s="55"/>
      <c r="I104" s="57"/>
      <c r="J104" s="57"/>
      <c r="K104" s="43"/>
      <c r="L104" s="41"/>
      <c r="M104" s="41"/>
      <c r="N104" s="42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3"/>
      <c r="AA104" s="43"/>
      <c r="AB104" s="43"/>
      <c r="AC104" s="43"/>
      <c r="AD104" s="43"/>
      <c r="AE104" s="43"/>
      <c r="AF104" s="43"/>
      <c r="AG104" s="43"/>
      <c r="AH104" s="43"/>
    </row>
    <row r="105" spans="1:34">
      <c r="A105" s="43"/>
      <c r="B105" s="55"/>
      <c r="C105" s="43"/>
      <c r="D105" s="43"/>
      <c r="E105" s="55"/>
      <c r="F105" s="55"/>
      <c r="G105" s="56"/>
      <c r="H105" s="55"/>
      <c r="I105" s="57"/>
      <c r="J105" s="57"/>
      <c r="K105" s="43"/>
      <c r="L105" s="41"/>
      <c r="M105" s="41"/>
      <c r="N105" s="42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3"/>
      <c r="AA105" s="43"/>
      <c r="AB105" s="43"/>
      <c r="AC105" s="43"/>
      <c r="AD105" s="43"/>
      <c r="AE105" s="43"/>
      <c r="AF105" s="43"/>
      <c r="AG105" s="43"/>
      <c r="AH105" s="43"/>
    </row>
    <row r="106" spans="1:34">
      <c r="A106" s="43"/>
      <c r="B106" s="55"/>
      <c r="C106" s="43"/>
      <c r="D106" s="43"/>
      <c r="E106" s="55"/>
      <c r="F106" s="55"/>
      <c r="G106" s="56"/>
      <c r="H106" s="55"/>
      <c r="I106" s="57"/>
      <c r="J106" s="57"/>
      <c r="K106" s="43"/>
      <c r="L106" s="41"/>
      <c r="M106" s="41"/>
      <c r="N106" s="42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3"/>
      <c r="AA106" s="43"/>
      <c r="AB106" s="43"/>
      <c r="AC106" s="43"/>
      <c r="AD106" s="43"/>
      <c r="AE106" s="43"/>
      <c r="AF106" s="43"/>
      <c r="AG106" s="43"/>
      <c r="AH106" s="43"/>
    </row>
    <row r="107" spans="1:34">
      <c r="A107" s="43"/>
      <c r="B107" s="55"/>
      <c r="C107" s="43"/>
      <c r="D107" s="43"/>
      <c r="E107" s="55"/>
      <c r="F107" s="55"/>
      <c r="G107" s="56"/>
      <c r="H107" s="55"/>
      <c r="I107" s="57"/>
      <c r="J107" s="57"/>
      <c r="K107" s="43"/>
      <c r="L107" s="41"/>
      <c r="M107" s="41"/>
      <c r="N107" s="42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3"/>
      <c r="AA107" s="43"/>
      <c r="AB107" s="43"/>
      <c r="AC107" s="43"/>
      <c r="AD107" s="43"/>
      <c r="AE107" s="43"/>
      <c r="AF107" s="43"/>
      <c r="AG107" s="43"/>
      <c r="AH107" s="43"/>
    </row>
    <row r="108" spans="1:34">
      <c r="A108" s="43"/>
      <c r="B108" s="55"/>
      <c r="C108" s="43"/>
      <c r="D108" s="43"/>
      <c r="E108" s="55"/>
      <c r="F108" s="55"/>
      <c r="G108" s="56"/>
      <c r="H108" s="55"/>
      <c r="I108" s="57"/>
      <c r="J108" s="57"/>
      <c r="K108" s="43"/>
      <c r="L108" s="41"/>
      <c r="M108" s="41"/>
      <c r="N108" s="42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3"/>
      <c r="AA108" s="43"/>
      <c r="AB108" s="43"/>
      <c r="AC108" s="43"/>
      <c r="AD108" s="43"/>
      <c r="AE108" s="43"/>
      <c r="AF108" s="43"/>
      <c r="AG108" s="43"/>
      <c r="AH108" s="43"/>
    </row>
    <row r="109" spans="1:34">
      <c r="A109" s="43"/>
      <c r="B109" s="55"/>
      <c r="C109" s="43"/>
      <c r="D109" s="43"/>
      <c r="E109" s="55"/>
      <c r="F109" s="55"/>
      <c r="G109" s="56"/>
      <c r="H109" s="55"/>
      <c r="I109" s="57"/>
      <c r="J109" s="57"/>
      <c r="K109" s="43"/>
      <c r="L109" s="41"/>
      <c r="M109" s="41"/>
      <c r="N109" s="42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3"/>
      <c r="AA109" s="43"/>
      <c r="AB109" s="43"/>
      <c r="AC109" s="43"/>
      <c r="AD109" s="43"/>
      <c r="AE109" s="43"/>
      <c r="AF109" s="43"/>
      <c r="AG109" s="43"/>
      <c r="AH109" s="43"/>
    </row>
    <row r="110" spans="1:34">
      <c r="A110" s="43"/>
      <c r="B110" s="55"/>
      <c r="C110" s="43"/>
      <c r="D110" s="43"/>
      <c r="E110" s="55"/>
      <c r="F110" s="55"/>
      <c r="G110" s="56"/>
      <c r="H110" s="55"/>
      <c r="I110" s="57"/>
      <c r="J110" s="57"/>
      <c r="K110" s="43"/>
      <c r="L110" s="41"/>
      <c r="M110" s="41"/>
      <c r="N110" s="42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3"/>
      <c r="AA110" s="43"/>
      <c r="AB110" s="43"/>
      <c r="AC110" s="43"/>
      <c r="AD110" s="43"/>
      <c r="AE110" s="43"/>
      <c r="AF110" s="43"/>
      <c r="AG110" s="43"/>
      <c r="AH110" s="43"/>
    </row>
    <row r="111" spans="1:34">
      <c r="A111" s="43"/>
      <c r="B111" s="55"/>
      <c r="C111" s="43"/>
      <c r="D111" s="43"/>
      <c r="E111" s="55"/>
      <c r="F111" s="55"/>
      <c r="G111" s="56"/>
      <c r="H111" s="55"/>
      <c r="I111" s="57"/>
      <c r="J111" s="57"/>
      <c r="K111" s="43"/>
      <c r="L111" s="41"/>
      <c r="M111" s="41"/>
      <c r="N111" s="42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3"/>
      <c r="AA111" s="43"/>
      <c r="AB111" s="43"/>
      <c r="AC111" s="43"/>
      <c r="AD111" s="43"/>
      <c r="AE111" s="43"/>
      <c r="AF111" s="43"/>
      <c r="AG111" s="43"/>
      <c r="AH111" s="43"/>
    </row>
    <row r="112" spans="1:34">
      <c r="A112" s="43"/>
      <c r="B112" s="55"/>
      <c r="C112" s="43"/>
      <c r="D112" s="43"/>
      <c r="E112" s="55"/>
      <c r="F112" s="55"/>
      <c r="G112" s="56"/>
      <c r="H112" s="55"/>
      <c r="I112" s="57"/>
      <c r="J112" s="57"/>
      <c r="K112" s="43"/>
      <c r="L112" s="41"/>
      <c r="M112" s="41"/>
      <c r="N112" s="42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3"/>
      <c r="AA112" s="43"/>
      <c r="AB112" s="43"/>
      <c r="AC112" s="43"/>
      <c r="AD112" s="43"/>
      <c r="AE112" s="43"/>
      <c r="AF112" s="43"/>
      <c r="AG112" s="43"/>
      <c r="AH112" s="43"/>
    </row>
    <row r="113" spans="1:34">
      <c r="A113" s="43"/>
      <c r="B113" s="55"/>
      <c r="C113" s="43"/>
      <c r="D113" s="43"/>
      <c r="E113" s="55"/>
      <c r="F113" s="55"/>
      <c r="G113" s="56"/>
      <c r="H113" s="55"/>
      <c r="I113" s="57"/>
      <c r="J113" s="57"/>
      <c r="K113" s="43"/>
      <c r="L113" s="41"/>
      <c r="M113" s="41"/>
      <c r="N113" s="42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3"/>
      <c r="AA113" s="43"/>
      <c r="AB113" s="43"/>
      <c r="AC113" s="43"/>
      <c r="AD113" s="43"/>
      <c r="AE113" s="43"/>
      <c r="AF113" s="43"/>
      <c r="AG113" s="43"/>
      <c r="AH113" s="43"/>
    </row>
    <row r="114" spans="1:34">
      <c r="A114" s="43"/>
      <c r="B114" s="55"/>
      <c r="C114" s="43"/>
      <c r="D114" s="43"/>
      <c r="E114" s="55"/>
      <c r="F114" s="55"/>
      <c r="G114" s="56"/>
      <c r="H114" s="55"/>
      <c r="I114" s="57"/>
      <c r="J114" s="57"/>
      <c r="K114" s="43"/>
      <c r="L114" s="41"/>
      <c r="M114" s="41"/>
      <c r="N114" s="42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3"/>
      <c r="AA114" s="43"/>
      <c r="AB114" s="43"/>
      <c r="AC114" s="43"/>
      <c r="AD114" s="43"/>
      <c r="AE114" s="43"/>
      <c r="AF114" s="43"/>
      <c r="AG114" s="43"/>
      <c r="AH114" s="43"/>
    </row>
    <row r="115" spans="1:34">
      <c r="A115" s="43"/>
      <c r="B115" s="55"/>
      <c r="C115" s="43"/>
      <c r="D115" s="43"/>
      <c r="E115" s="55"/>
      <c r="F115" s="55"/>
      <c r="G115" s="56"/>
      <c r="H115" s="55"/>
      <c r="I115" s="57"/>
      <c r="J115" s="57"/>
      <c r="K115" s="43"/>
      <c r="L115" s="41"/>
      <c r="M115" s="41"/>
      <c r="N115" s="42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3"/>
      <c r="AA115" s="43"/>
      <c r="AB115" s="43"/>
      <c r="AC115" s="43"/>
      <c r="AD115" s="43"/>
      <c r="AE115" s="43"/>
      <c r="AF115" s="43"/>
      <c r="AG115" s="43"/>
      <c r="AH115" s="43"/>
    </row>
    <row r="116" spans="1:34">
      <c r="A116" s="43"/>
      <c r="B116" s="55"/>
      <c r="C116" s="43"/>
      <c r="D116" s="43"/>
      <c r="E116" s="55"/>
      <c r="F116" s="55"/>
      <c r="G116" s="56"/>
      <c r="H116" s="55"/>
      <c r="I116" s="57"/>
      <c r="J116" s="57"/>
      <c r="K116" s="43"/>
      <c r="L116" s="41"/>
      <c r="M116" s="41"/>
      <c r="N116" s="42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3"/>
      <c r="AA116" s="43"/>
      <c r="AB116" s="43"/>
      <c r="AC116" s="43"/>
      <c r="AD116" s="43"/>
      <c r="AE116" s="43"/>
      <c r="AF116" s="43"/>
      <c r="AG116" s="43"/>
      <c r="AH116" s="43"/>
    </row>
    <row r="117" spans="1:34">
      <c r="A117" s="43"/>
      <c r="B117" s="55"/>
      <c r="C117" s="43"/>
      <c r="D117" s="43"/>
      <c r="E117" s="55"/>
      <c r="F117" s="55"/>
      <c r="G117" s="56"/>
      <c r="H117" s="55"/>
      <c r="I117" s="57"/>
      <c r="J117" s="57"/>
      <c r="K117" s="43"/>
      <c r="L117" s="41"/>
      <c r="M117" s="41"/>
      <c r="N117" s="42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3"/>
      <c r="AA117" s="43"/>
      <c r="AB117" s="43"/>
      <c r="AC117" s="43"/>
      <c r="AD117" s="43"/>
      <c r="AE117" s="43"/>
      <c r="AF117" s="43"/>
      <c r="AG117" s="43"/>
      <c r="AH117" s="43"/>
    </row>
    <row r="118" spans="1:34">
      <c r="A118" s="43"/>
      <c r="B118" s="55"/>
      <c r="C118" s="43"/>
      <c r="D118" s="43"/>
      <c r="E118" s="55"/>
      <c r="F118" s="55"/>
      <c r="G118" s="56"/>
      <c r="H118" s="55"/>
      <c r="I118" s="57"/>
      <c r="J118" s="57"/>
      <c r="K118" s="43"/>
      <c r="L118" s="41"/>
      <c r="M118" s="41"/>
      <c r="N118" s="42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3"/>
      <c r="AA118" s="43"/>
      <c r="AB118" s="43"/>
      <c r="AC118" s="43"/>
      <c r="AD118" s="43"/>
      <c r="AE118" s="43"/>
      <c r="AF118" s="43"/>
      <c r="AG118" s="43"/>
      <c r="AH118" s="43"/>
    </row>
    <row r="119" spans="1:34">
      <c r="A119" s="43"/>
      <c r="B119" s="55"/>
      <c r="C119" s="43"/>
      <c r="D119" s="43"/>
      <c r="E119" s="55"/>
      <c r="F119" s="55"/>
      <c r="G119" s="56"/>
      <c r="H119" s="55"/>
      <c r="I119" s="57"/>
      <c r="J119" s="57"/>
      <c r="K119" s="43"/>
      <c r="L119" s="41"/>
      <c r="M119" s="41"/>
      <c r="N119" s="42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3"/>
      <c r="AA119" s="43"/>
      <c r="AB119" s="43"/>
      <c r="AC119" s="43"/>
      <c r="AD119" s="43"/>
      <c r="AE119" s="43"/>
      <c r="AF119" s="43"/>
      <c r="AG119" s="43"/>
      <c r="AH119" s="43"/>
    </row>
    <row r="120" spans="1:34">
      <c r="A120" s="43"/>
      <c r="B120" s="55"/>
      <c r="C120" s="43"/>
      <c r="D120" s="43"/>
      <c r="E120" s="55"/>
      <c r="F120" s="55"/>
      <c r="G120" s="56"/>
      <c r="H120" s="55"/>
      <c r="I120" s="57"/>
      <c r="J120" s="57"/>
      <c r="K120" s="43"/>
      <c r="L120" s="41"/>
      <c r="M120" s="41"/>
      <c r="N120" s="42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3"/>
      <c r="AA120" s="43"/>
      <c r="AB120" s="43"/>
      <c r="AC120" s="43"/>
      <c r="AD120" s="43"/>
      <c r="AE120" s="43"/>
      <c r="AF120" s="43"/>
      <c r="AG120" s="43"/>
      <c r="AH120" s="43"/>
    </row>
    <row r="121" spans="1:34">
      <c r="A121" s="43"/>
      <c r="B121" s="55"/>
      <c r="C121" s="43"/>
      <c r="D121" s="43"/>
      <c r="E121" s="55"/>
      <c r="F121" s="55"/>
      <c r="G121" s="56"/>
      <c r="H121" s="55"/>
      <c r="I121" s="57"/>
      <c r="J121" s="57"/>
      <c r="K121" s="43"/>
      <c r="L121" s="41"/>
      <c r="M121" s="41"/>
      <c r="N121" s="42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3"/>
      <c r="AA121" s="43"/>
      <c r="AB121" s="43"/>
      <c r="AC121" s="43"/>
      <c r="AD121" s="43"/>
      <c r="AE121" s="43"/>
      <c r="AF121" s="43"/>
      <c r="AG121" s="43"/>
      <c r="AH121" s="43"/>
    </row>
    <row r="122" spans="1:34">
      <c r="A122" s="43"/>
      <c r="B122" s="55"/>
      <c r="C122" s="43"/>
      <c r="D122" s="43"/>
      <c r="E122" s="55"/>
      <c r="F122" s="55"/>
      <c r="G122" s="56"/>
      <c r="H122" s="55"/>
      <c r="I122" s="57"/>
      <c r="J122" s="57"/>
      <c r="K122" s="43"/>
      <c r="L122" s="41"/>
      <c r="M122" s="41"/>
      <c r="N122" s="42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3"/>
      <c r="AA122" s="43"/>
      <c r="AB122" s="43"/>
      <c r="AC122" s="43"/>
      <c r="AD122" s="43"/>
      <c r="AE122" s="43"/>
      <c r="AF122" s="43"/>
      <c r="AG122" s="43"/>
      <c r="AH122" s="43"/>
    </row>
  </sheetData>
  <autoFilter ref="A2:Y86" xr:uid="{00000000-0001-0000-0200-000000000000}">
    <sortState ref="A3:Y86">
      <sortCondition ref="A2:A86"/>
    </sortState>
  </autoFilter>
  <mergeCells count="4">
    <mergeCell ref="A1:K1"/>
    <mergeCell ref="P1:Q1"/>
    <mergeCell ref="R1:S1"/>
    <mergeCell ref="T1:U1"/>
  </mergeCells>
  <phoneticPr fontId="16" type="noConversion"/>
  <pageMargins left="0.70866141732283472" right="0.70866141732283472" top="0.74803149606299213" bottom="0.74803149606299213" header="0.31496062992125984" footer="0.31496062992125984"/>
  <pageSetup paperSize="3" scale="4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APROBADOS 2024-2025-2026</vt:lpstr>
      <vt:lpstr>'APROBADOS 2024-2025-2026'!Títulos_a_imprimir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OCTAVIO JOSE ACEVEDO DELGADO</cp:lastModifiedBy>
  <cp:revision/>
  <dcterms:created xsi:type="dcterms:W3CDTF">2025-06-19T21:22:38Z</dcterms:created>
  <dcterms:modified xsi:type="dcterms:W3CDTF">2026-10-13T21:12:34Z</dcterms:modified>
  <cp:category/>
  <cp:contentStatus/>
</cp:coreProperties>
</file>